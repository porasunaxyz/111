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r Ahmed\Desktop\"/>
    </mc:Choice>
  </mc:AlternateContent>
  <xr:revisionPtr revIDLastSave="0" documentId="13_ncr:1_{A5DFF008-C247-49F8-8A65-372EA5C615D1}" xr6:coauthVersionLast="47" xr6:coauthVersionMax="47" xr10:uidLastSave="{00000000-0000-0000-0000-000000000000}"/>
  <bookViews>
    <workbookView xWindow="-120" yWindow="-120" windowWidth="20730" windowHeight="11040" xr2:uid="{2148E7D3-C9EE-48EB-B9F7-3DE36AED6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1" i="1"/>
  <c r="D20" i="1"/>
  <c r="E16" i="1"/>
  <c r="E14" i="1"/>
  <c r="F14" i="1"/>
  <c r="G14" i="1"/>
  <c r="D14" i="1"/>
  <c r="H13" i="1"/>
  <c r="E13" i="1"/>
  <c r="F13" i="1"/>
  <c r="G13" i="1"/>
  <c r="D13" i="1"/>
  <c r="G4" i="1" a="1"/>
  <c r="G4" i="1" s="1"/>
  <c r="G5" i="1" a="1"/>
  <c r="G5" i="1"/>
  <c r="G6" i="1" a="1"/>
  <c r="G6" i="1" s="1"/>
  <c r="G7" i="1" a="1"/>
  <c r="G7" i="1"/>
  <c r="G8" i="1" a="1"/>
  <c r="G8" i="1" s="1"/>
  <c r="G9" i="1" a="1"/>
  <c r="G9" i="1"/>
  <c r="G10" i="1" a="1"/>
  <c r="G10" i="1" s="1"/>
  <c r="G11" i="1" a="1"/>
  <c r="G11" i="1"/>
  <c r="G12" i="1" a="1"/>
  <c r="G12" i="1" s="1"/>
  <c r="G3" i="1" a="1"/>
  <c r="G3" i="1" s="1"/>
  <c r="F4" i="1" a="1"/>
  <c r="F4" i="1" s="1"/>
  <c r="F5" i="1" a="1"/>
  <c r="F5" i="1"/>
  <c r="F6" i="1" a="1"/>
  <c r="F6" i="1" s="1"/>
  <c r="F7" i="1" a="1"/>
  <c r="F7" i="1"/>
  <c r="F8" i="1" a="1"/>
  <c r="F8" i="1" s="1"/>
  <c r="F9" i="1" a="1"/>
  <c r="F9" i="1"/>
  <c r="F10" i="1" a="1"/>
  <c r="F10" i="1" s="1"/>
  <c r="F11" i="1" a="1"/>
  <c r="F11" i="1"/>
  <c r="F12" i="1" a="1"/>
  <c r="F12" i="1" s="1"/>
  <c r="F3" i="1" a="1"/>
  <c r="F3" i="1" s="1"/>
  <c r="E4" i="1" a="1"/>
  <c r="E4" i="1" s="1"/>
  <c r="E5" i="1" a="1"/>
  <c r="E5" i="1"/>
  <c r="E6" i="1" a="1"/>
  <c r="E6" i="1" s="1"/>
  <c r="E7" i="1" a="1"/>
  <c r="E7" i="1"/>
  <c r="E8" i="1" a="1"/>
  <c r="E8" i="1" s="1"/>
  <c r="E9" i="1" a="1"/>
  <c r="E9" i="1"/>
  <c r="E10" i="1" a="1"/>
  <c r="E10" i="1" s="1"/>
  <c r="E11" i="1" a="1"/>
  <c r="E11" i="1"/>
  <c r="E12" i="1" a="1"/>
  <c r="E12" i="1" s="1"/>
  <c r="E3" i="1" a="1"/>
  <c r="E3" i="1" s="1"/>
  <c r="D4" i="1" a="1"/>
  <c r="D4" i="1" s="1"/>
  <c r="D5" i="1" a="1"/>
  <c r="D5" i="1"/>
  <c r="D6" i="1" a="1"/>
  <c r="D6" i="1" s="1"/>
  <c r="D7" i="1" a="1"/>
  <c r="D7" i="1"/>
  <c r="D8" i="1" a="1"/>
  <c r="D8" i="1" s="1"/>
  <c r="D9" i="1" a="1"/>
  <c r="D9" i="1"/>
  <c r="D10" i="1" a="1"/>
  <c r="D10" i="1" s="1"/>
  <c r="D11" i="1" a="1"/>
  <c r="D11" i="1"/>
  <c r="D12" i="1" a="1"/>
  <c r="D12" i="1" s="1"/>
  <c r="D3" i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<sst xmlns="http://schemas.openxmlformats.org/spreadsheetml/2006/main" count="23" uniqueCount="21">
  <si>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K=4</t>
  </si>
  <si>
    <t>n=10</t>
  </si>
  <si>
    <t>total sample 4 ta</t>
  </si>
  <si>
    <t>A</t>
  </si>
  <si>
    <t>B</t>
  </si>
  <si>
    <t>C</t>
  </si>
  <si>
    <t>D</t>
  </si>
  <si>
    <t>SL</t>
  </si>
  <si>
    <t>yi_bar</t>
  </si>
  <si>
    <t>#a</t>
  </si>
  <si>
    <t>#b</t>
  </si>
  <si>
    <t>Y_bar</t>
  </si>
  <si>
    <t>efficiency</t>
  </si>
  <si>
    <t>V(ysys_bar)</t>
  </si>
  <si>
    <t>(yi_bar-Y_bar)^2</t>
  </si>
  <si>
    <t>var(ysrs)</t>
  </si>
  <si>
    <t>S^2</t>
  </si>
  <si>
    <t>N</t>
  </si>
  <si>
    <t>n</t>
  </si>
  <si>
    <t>comment:the percentage gain in efficiency of systematic sampling</t>
  </si>
  <si>
    <t xml:space="preserve"> relative to SRS is 236.53%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</si>
</sst>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0" xfId="0" applyFont="1" applyFill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3" xfId="0" applyFont="1" applyFill="1" applyBorder="1"/>
    <xf numFmtId="0" fontId="1" fillId="0" borderId="0" xfId="0" applyFont="1" applyBorder="1"/>
    <xf numFmtId="0" fontId="1" fillId="3" borderId="4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1" fillId="4" borderId="7" xfId="0" applyFont="1" applyFill="1" applyBorder="1"/>
    <xf numFmtId="0" fontId="1" fillId="5" borderId="7" xfId="0" applyFont="1" applyFill="1" applyBorder="1"/>
    <xf numFmtId="0" fontId="1" fillId="5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1" fillId="6" borderId="1" xfId="0" applyFont="1" applyFill="1" applyBorder="1"/>
    <xf numFmtId="0" fontId="1" fillId="6" borderId="0" xfId="0" applyFont="1" applyFill="1" applyBorder="1"/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6" borderId="3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0" borderId="0" xfId="0" applyFont="1" applyAlignment="1"/>
    <xf numFmtId="0" fontId="1" fillId="0" borderId="3" xfId="0" applyFont="1" applyBorder="1" applyAlignment="1"/>
    <xf numFmtId="0" fontId="1" fillId="3" borderId="1" xfId="0" applyFont="1" applyFill="1" applyBorder="1"/>
    <xf numFmtId="0" fontId="1" fillId="3" borderId="7" xfId="0" applyFont="1" applyFill="1" applyBorder="1"/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8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6BB-6A60-4591-8CEE-4AFEA36E519E}">
  <dimension ref="A1:J42"/>
  <sheetViews>
    <sheetView tabSelected="1" workbookViewId="0">
      <selection activeCell="J22" sqref="J22"/>
    </sheetView>
  </sheetViews>
  <sheetFormatPr defaultRowHeight="15" x14ac:dyDescent="0.25"/>
  <cols>
    <col min="1" max="2" width="9.140625" style="5"/>
    <col min="3" max="3" width="15.5703125" style="5" customWidth="1"/>
    <col min="4" max="4" width="11.5703125" style="5" customWidth="1"/>
    <col min="5" max="16384" width="9.140625" style="5"/>
  </cols>
  <sheetData>
    <row r="1" spans="1:9" x14ac:dyDescent="0.25">
      <c r="A1" s="1">
        <v>1</v>
      </c>
      <c r="B1" s="2">
        <v>30</v>
      </c>
      <c r="C1" s="1" t="s">
        <v>9</v>
      </c>
      <c r="D1" s="3" t="s">
        <v>0</v>
      </c>
      <c r="E1" s="3" t="s">
        <v>1</v>
      </c>
      <c r="F1" s="3" t="s">
        <v>2</v>
      </c>
      <c r="G1" s="3"/>
      <c r="H1" s="2"/>
      <c r="I1" s="4"/>
    </row>
    <row r="2" spans="1:9" x14ac:dyDescent="0.25">
      <c r="A2" s="6">
        <v>2</v>
      </c>
      <c r="B2" s="7">
        <v>24</v>
      </c>
      <c r="C2" s="8" t="s">
        <v>7</v>
      </c>
      <c r="D2" s="9" t="s">
        <v>3</v>
      </c>
      <c r="E2" s="9" t="s">
        <v>4</v>
      </c>
      <c r="F2" s="9" t="s">
        <v>5</v>
      </c>
      <c r="G2" s="9" t="s">
        <v>6</v>
      </c>
      <c r="H2" s="7"/>
    </row>
    <row r="3" spans="1:9" x14ac:dyDescent="0.25">
      <c r="A3" s="6">
        <v>3</v>
      </c>
      <c r="B3" s="7">
        <v>32</v>
      </c>
      <c r="C3" s="10">
        <v>1</v>
      </c>
      <c r="D3" s="11" cm="1">
        <f t="array" ref="D3">INDEX($B$1:$B$40,1+(ROW()-ROW($D$3))*4)</f>
        <v>30</v>
      </c>
      <c r="E3" s="11" cm="1">
        <f t="array" ref="E3">INDEX($B$1:$B$40,2+(ROW()-ROW($E$3))*4)</f>
        <v>24</v>
      </c>
      <c r="F3" s="11" cm="1">
        <f t="array" ref="F3">INDEX($B$1:$B$40,3+(ROW()-ROW($F$3))*4)</f>
        <v>32</v>
      </c>
      <c r="G3" s="11" cm="1">
        <f t="array" ref="G3">INDEX($B$1:$B$40,4+(ROW()-ROW($G$3))*4)</f>
        <v>22</v>
      </c>
      <c r="H3" s="7"/>
    </row>
    <row r="4" spans="1:9" x14ac:dyDescent="0.25">
      <c r="A4" s="6">
        <v>4</v>
      </c>
      <c r="B4" s="7">
        <v>22</v>
      </c>
      <c r="C4" s="10">
        <v>2</v>
      </c>
      <c r="D4" s="11" cm="1">
        <f t="array" ref="D4">INDEX($B$1:$B$40,1+(ROW()-ROW($D$3))*4)</f>
        <v>20</v>
      </c>
      <c r="E4" s="11" cm="1">
        <f t="array" ref="E4">INDEX($B$1:$B$40,2+(ROW()-ROW($E$3))*4)</f>
        <v>28</v>
      </c>
      <c r="F4" s="11" cm="1">
        <f t="array" ref="F4">INDEX($B$1:$B$40,3+(ROW()-ROW($F$3))*4)</f>
        <v>30</v>
      </c>
      <c r="G4" s="11" cm="1">
        <f t="array" ref="G4">INDEX($B$1:$B$40,4+(ROW()-ROW($G$3))*4)</f>
        <v>30</v>
      </c>
      <c r="H4" s="7"/>
    </row>
    <row r="5" spans="1:9" x14ac:dyDescent="0.25">
      <c r="A5" s="6">
        <v>5</v>
      </c>
      <c r="B5" s="7">
        <v>20</v>
      </c>
      <c r="C5" s="10">
        <v>3</v>
      </c>
      <c r="D5" s="11" cm="1">
        <f t="array" ref="D5">INDEX($B$1:$B$40,1+(ROW()-ROW($D$3))*4)</f>
        <v>26</v>
      </c>
      <c r="E5" s="11" cm="1">
        <f t="array" ref="E5">INDEX($B$1:$B$40,2+(ROW()-ROW($E$3))*4)</f>
        <v>28</v>
      </c>
      <c r="F5" s="11" cm="1">
        <f t="array" ref="F5">INDEX($B$1:$B$40,3+(ROW()-ROW($F$3))*4)</f>
        <v>25</v>
      </c>
      <c r="G5" s="11" cm="1">
        <f t="array" ref="G5">INDEX($B$1:$B$40,4+(ROW()-ROW($G$3))*4)</f>
        <v>26</v>
      </c>
      <c r="H5" s="7"/>
    </row>
    <row r="6" spans="1:9" x14ac:dyDescent="0.25">
      <c r="A6" s="6">
        <v>6</v>
      </c>
      <c r="B6" s="7">
        <v>28</v>
      </c>
      <c r="C6" s="10">
        <v>4</v>
      </c>
      <c r="D6" s="11" cm="1">
        <f t="array" ref="D6">INDEX($B$1:$B$40,1+(ROW()-ROW($D$3))*4)</f>
        <v>25</v>
      </c>
      <c r="E6" s="11" cm="1">
        <f t="array" ref="E6">INDEX($B$1:$B$40,2+(ROW()-ROW($E$3))*4)</f>
        <v>25</v>
      </c>
      <c r="F6" s="11" cm="1">
        <f t="array" ref="F6">INDEX($B$1:$B$40,3+(ROW()-ROW($F$3))*4)</f>
        <v>30</v>
      </c>
      <c r="G6" s="11" cm="1">
        <f t="array" ref="G6">INDEX($B$1:$B$40,4+(ROW()-ROW($G$3))*4)</f>
        <v>28</v>
      </c>
      <c r="H6" s="7"/>
    </row>
    <row r="7" spans="1:9" x14ac:dyDescent="0.25">
      <c r="A7" s="6">
        <v>7</v>
      </c>
      <c r="B7" s="7">
        <v>30</v>
      </c>
      <c r="C7" s="10">
        <v>5</v>
      </c>
      <c r="D7" s="11" cm="1">
        <f t="array" ref="D7">INDEX($B$1:$B$40,1+(ROW()-ROW($D$3))*4)</f>
        <v>28</v>
      </c>
      <c r="E7" s="11" cm="1">
        <f t="array" ref="E7">INDEX($B$1:$B$40,2+(ROW()-ROW($E$3))*4)</f>
        <v>31</v>
      </c>
      <c r="F7" s="11" cm="1">
        <f t="array" ref="F7">INDEX($B$1:$B$40,3+(ROW()-ROW($F$3))*4)</f>
        <v>28</v>
      </c>
      <c r="G7" s="11" cm="1">
        <f t="array" ref="G7">INDEX($B$1:$B$40,4+(ROW()-ROW($G$3))*4)</f>
        <v>29</v>
      </c>
      <c r="H7" s="7"/>
    </row>
    <row r="8" spans="1:9" x14ac:dyDescent="0.25">
      <c r="A8" s="6">
        <v>8</v>
      </c>
      <c r="B8" s="7">
        <v>30</v>
      </c>
      <c r="C8" s="10">
        <v>6</v>
      </c>
      <c r="D8" s="11" cm="1">
        <f t="array" ref="D8">INDEX($B$1:$B$40,1+(ROW()-ROW($D$3))*4)</f>
        <v>31</v>
      </c>
      <c r="E8" s="11" cm="1">
        <f t="array" ref="E8">INDEX($B$1:$B$40,2+(ROW()-ROW($E$3))*4)</f>
        <v>30</v>
      </c>
      <c r="F8" s="11" cm="1">
        <f t="array" ref="F8">INDEX($B$1:$B$40,3+(ROW()-ROW($F$3))*4)</f>
        <v>32</v>
      </c>
      <c r="G8" s="11" cm="1">
        <f t="array" ref="G8">INDEX($B$1:$B$40,4+(ROW()-ROW($G$3))*4)</f>
        <v>28</v>
      </c>
      <c r="H8" s="7"/>
    </row>
    <row r="9" spans="1:9" x14ac:dyDescent="0.25">
      <c r="A9" s="6">
        <v>9</v>
      </c>
      <c r="B9" s="7">
        <v>26</v>
      </c>
      <c r="C9" s="10">
        <v>7</v>
      </c>
      <c r="D9" s="11" cm="1">
        <f t="array" ref="D9">INDEX($B$1:$B$40,1+(ROW()-ROW($D$3))*4)</f>
        <v>27</v>
      </c>
      <c r="E9" s="11" cm="1">
        <f t="array" ref="E9">INDEX($B$1:$B$40,2+(ROW()-ROW($E$3))*4)</f>
        <v>28</v>
      </c>
      <c r="F9" s="11" cm="1">
        <f t="array" ref="F9">INDEX($B$1:$B$40,3+(ROW()-ROW($F$3))*4)</f>
        <v>25</v>
      </c>
      <c r="G9" s="11" cm="1">
        <f t="array" ref="G9">INDEX($B$1:$B$40,4+(ROW()-ROW($G$3))*4)</f>
        <v>31</v>
      </c>
      <c r="H9" s="7"/>
    </row>
    <row r="10" spans="1:9" x14ac:dyDescent="0.25">
      <c r="A10" s="6">
        <v>10</v>
      </c>
      <c r="B10" s="7">
        <v>28</v>
      </c>
      <c r="C10" s="10">
        <v>8</v>
      </c>
      <c r="D10" s="11" cm="1">
        <f t="array" ref="D10">INDEX($B$1:$B$40,1+(ROW()-ROW($D$3))*4)</f>
        <v>30</v>
      </c>
      <c r="E10" s="11" cm="1">
        <f t="array" ref="E10">INDEX($B$1:$B$40,2+(ROW()-ROW($E$3))*4)</f>
        <v>29</v>
      </c>
      <c r="F10" s="11" cm="1">
        <f t="array" ref="F10">INDEX($B$1:$B$40,3+(ROW()-ROW($F$3))*4)</f>
        <v>32</v>
      </c>
      <c r="G10" s="11" cm="1">
        <f t="array" ref="G10">INDEX($B$1:$B$40,4+(ROW()-ROW($G$3))*4)</f>
        <v>32</v>
      </c>
      <c r="H10" s="7"/>
    </row>
    <row r="11" spans="1:9" x14ac:dyDescent="0.25">
      <c r="A11" s="6">
        <v>11</v>
      </c>
      <c r="B11" s="7">
        <v>25</v>
      </c>
      <c r="C11" s="10">
        <v>9</v>
      </c>
      <c r="D11" s="11" cm="1">
        <f t="array" ref="D11">INDEX($B$1:$B$40,1+(ROW()-ROW($D$3))*4)</f>
        <v>29</v>
      </c>
      <c r="E11" s="11" cm="1">
        <f t="array" ref="E11">INDEX($B$1:$B$40,2+(ROW()-ROW($E$3))*4)</f>
        <v>23</v>
      </c>
      <c r="F11" s="11" cm="1">
        <f t="array" ref="F11">INDEX($B$1:$B$40,3+(ROW()-ROW($F$3))*4)</f>
        <v>22</v>
      </c>
      <c r="G11" s="11" cm="1">
        <f t="array" ref="G11">INDEX($B$1:$B$40,4+(ROW()-ROW($G$3))*4)</f>
        <v>21</v>
      </c>
      <c r="H11" s="7"/>
    </row>
    <row r="12" spans="1:9" x14ac:dyDescent="0.25">
      <c r="A12" s="6">
        <v>12</v>
      </c>
      <c r="B12" s="7">
        <v>26</v>
      </c>
      <c r="C12" s="10">
        <v>10</v>
      </c>
      <c r="D12" s="11" cm="1">
        <f t="array" ref="D12">INDEX($B$1:$B$40,1+(ROW()-ROW($D$3))*4)</f>
        <v>23</v>
      </c>
      <c r="E12" s="11" cm="1">
        <f t="array" ref="E12">INDEX($B$1:$B$40,2+(ROW()-ROW($E$3))*4)</f>
        <v>20</v>
      </c>
      <c r="F12" s="11" cm="1">
        <f t="array" ref="F12">INDEX($B$1:$B$40,3+(ROW()-ROW($F$3))*4)</f>
        <v>24</v>
      </c>
      <c r="G12" s="11" cm="1">
        <f t="array" ref="G12">INDEX($B$1:$B$40,4+(ROW()-ROW($G$3))*4)</f>
        <v>25</v>
      </c>
      <c r="H12" s="12" t="s">
        <v>11</v>
      </c>
    </row>
    <row r="13" spans="1:9" ht="15.75" thickBot="1" x14ac:dyDescent="0.3">
      <c r="A13" s="6">
        <v>13</v>
      </c>
      <c r="B13" s="7">
        <v>25</v>
      </c>
      <c r="C13" s="13" t="s">
        <v>8</v>
      </c>
      <c r="D13" s="14">
        <f>AVERAGE(D3:D12)</f>
        <v>26.9</v>
      </c>
      <c r="E13" s="14">
        <f t="shared" ref="E13:G13" si="0">AVERAGE(E3:E12)</f>
        <v>26.6</v>
      </c>
      <c r="F13" s="14">
        <f t="shared" si="0"/>
        <v>28</v>
      </c>
      <c r="G13" s="14">
        <f t="shared" si="0"/>
        <v>27.2</v>
      </c>
      <c r="H13" s="15">
        <f>AVERAGE(D13:G13)</f>
        <v>27.175000000000001</v>
      </c>
    </row>
    <row r="14" spans="1:9" ht="15.75" thickBot="1" x14ac:dyDescent="0.3">
      <c r="A14" s="6">
        <v>14</v>
      </c>
      <c r="B14" s="7">
        <v>25</v>
      </c>
      <c r="C14" s="5" t="s">
        <v>14</v>
      </c>
      <c r="D14" s="4">
        <f>(D13-$H$13)^2</f>
        <v>7.5625000000001177E-2</v>
      </c>
      <c r="E14" s="4">
        <f t="shared" ref="E14:G14" si="1">(E13-$H$13)^2</f>
        <v>0.33062499999999917</v>
      </c>
      <c r="F14" s="4">
        <f t="shared" si="1"/>
        <v>0.68062499999999881</v>
      </c>
      <c r="G14" s="4">
        <f t="shared" si="1"/>
        <v>6.24999999999929E-4</v>
      </c>
    </row>
    <row r="15" spans="1:9" x14ac:dyDescent="0.25">
      <c r="A15" s="6">
        <v>15</v>
      </c>
      <c r="B15" s="7">
        <v>30</v>
      </c>
      <c r="C15" s="31" t="s">
        <v>10</v>
      </c>
      <c r="D15" s="32" t="s">
        <v>12</v>
      </c>
      <c r="E15" s="3"/>
      <c r="F15" s="3"/>
      <c r="G15" s="3"/>
      <c r="H15" s="2"/>
    </row>
    <row r="16" spans="1:9" x14ac:dyDescent="0.25">
      <c r="A16" s="6">
        <v>16</v>
      </c>
      <c r="B16" s="7">
        <v>28</v>
      </c>
      <c r="C16" s="6"/>
      <c r="D16" s="21" t="s">
        <v>13</v>
      </c>
      <c r="E16" s="21">
        <f>AVERAGE(D14:G14)</f>
        <v>0.27187499999999976</v>
      </c>
      <c r="F16" s="11"/>
      <c r="G16" s="11"/>
      <c r="H16" s="7"/>
    </row>
    <row r="17" spans="1:8" x14ac:dyDescent="0.25">
      <c r="A17" s="6">
        <v>17</v>
      </c>
      <c r="B17" s="7">
        <v>28</v>
      </c>
      <c r="C17" s="6"/>
      <c r="D17" s="11"/>
      <c r="E17" s="11"/>
      <c r="F17" s="11"/>
      <c r="G17" s="11"/>
      <c r="H17" s="7"/>
    </row>
    <row r="18" spans="1:8" ht="15.75" thickBot="1" x14ac:dyDescent="0.3">
      <c r="A18" s="6">
        <v>18</v>
      </c>
      <c r="B18" s="7">
        <v>31</v>
      </c>
      <c r="C18" s="6"/>
      <c r="D18" s="11"/>
      <c r="E18" s="11"/>
      <c r="F18" s="11"/>
      <c r="G18" s="11"/>
      <c r="H18" s="7"/>
    </row>
    <row r="19" spans="1:8" x14ac:dyDescent="0.25">
      <c r="A19" s="6">
        <v>19</v>
      </c>
      <c r="B19" s="7">
        <v>28</v>
      </c>
      <c r="C19" s="1" t="s">
        <v>15</v>
      </c>
      <c r="D19" s="17" t="s">
        <v>17</v>
      </c>
      <c r="E19" s="17">
        <v>40</v>
      </c>
      <c r="F19" s="18" t="s">
        <v>18</v>
      </c>
      <c r="G19" s="19">
        <v>10</v>
      </c>
      <c r="H19" s="7"/>
    </row>
    <row r="20" spans="1:8" ht="15.75" thickBot="1" x14ac:dyDescent="0.3">
      <c r="A20" s="6">
        <v>20</v>
      </c>
      <c r="B20" s="7">
        <v>29</v>
      </c>
      <c r="C20" s="20" t="s">
        <v>16</v>
      </c>
      <c r="D20" s="21">
        <f>_xlfn.VAR.S(B1:B40)</f>
        <v>12.199358974359011</v>
      </c>
      <c r="E20" s="11"/>
      <c r="F20" s="11"/>
      <c r="G20" s="7"/>
      <c r="H20" s="7"/>
    </row>
    <row r="21" spans="1:8" x14ac:dyDescent="0.25">
      <c r="A21" s="6">
        <v>21</v>
      </c>
      <c r="B21" s="7">
        <v>31</v>
      </c>
      <c r="C21" s="22" t="s">
        <v>15</v>
      </c>
      <c r="D21" s="23">
        <f>((E19-G19)/(E19*G19))*D20</f>
        <v>0.91495192307692585</v>
      </c>
      <c r="E21" s="11"/>
      <c r="F21" s="11"/>
      <c r="G21" s="7"/>
      <c r="H21" s="7"/>
    </row>
    <row r="22" spans="1:8" x14ac:dyDescent="0.25">
      <c r="A22" s="6">
        <v>22</v>
      </c>
      <c r="B22" s="7">
        <v>30</v>
      </c>
      <c r="C22" s="6"/>
      <c r="D22" s="11"/>
      <c r="E22" s="11"/>
      <c r="F22" s="11"/>
      <c r="G22" s="7"/>
      <c r="H22" s="7"/>
    </row>
    <row r="23" spans="1:8" ht="15.75" thickBot="1" x14ac:dyDescent="0.3">
      <c r="A23" s="6">
        <v>23</v>
      </c>
      <c r="B23" s="7">
        <v>32</v>
      </c>
      <c r="C23" s="24"/>
      <c r="D23" s="25"/>
      <c r="E23" s="25"/>
      <c r="F23" s="25"/>
      <c r="G23" s="26"/>
      <c r="H23" s="7"/>
    </row>
    <row r="24" spans="1:8" x14ac:dyDescent="0.25">
      <c r="A24" s="6">
        <v>24</v>
      </c>
      <c r="B24" s="7">
        <v>28</v>
      </c>
      <c r="C24" s="6"/>
      <c r="D24" s="11"/>
      <c r="E24" s="11"/>
      <c r="F24" s="11"/>
      <c r="G24" s="11"/>
      <c r="H24" s="7"/>
    </row>
    <row r="25" spans="1:8" x14ac:dyDescent="0.25">
      <c r="A25" s="6">
        <v>25</v>
      </c>
      <c r="B25" s="7">
        <v>27</v>
      </c>
      <c r="C25" s="6" t="s">
        <v>12</v>
      </c>
      <c r="D25" s="11">
        <f>((D21-E16)/E16)*100</f>
        <v>236.534040671973</v>
      </c>
      <c r="E25" s="11"/>
      <c r="F25" s="11"/>
      <c r="G25" s="11"/>
      <c r="H25" s="7"/>
    </row>
    <row r="26" spans="1:8" x14ac:dyDescent="0.25">
      <c r="A26" s="6">
        <v>26</v>
      </c>
      <c r="B26" s="7">
        <v>28</v>
      </c>
      <c r="C26" s="6"/>
      <c r="D26" s="11"/>
      <c r="E26" s="11"/>
      <c r="F26" s="11"/>
      <c r="G26" s="11"/>
      <c r="H26" s="7"/>
    </row>
    <row r="27" spans="1:8" x14ac:dyDescent="0.25">
      <c r="A27" s="6">
        <v>27</v>
      </c>
      <c r="B27" s="7">
        <v>25</v>
      </c>
      <c r="C27" s="27" t="s">
        <v>19</v>
      </c>
      <c r="D27" s="28"/>
      <c r="E27" s="28"/>
      <c r="F27" s="28"/>
      <c r="G27" s="28"/>
      <c r="H27" s="33"/>
    </row>
    <row r="28" spans="1:8" ht="15.75" thickBot="1" x14ac:dyDescent="0.3">
      <c r="A28" s="6">
        <v>28</v>
      </c>
      <c r="B28" s="7">
        <v>31</v>
      </c>
      <c r="C28" s="34" t="s">
        <v>20</v>
      </c>
      <c r="D28" s="35"/>
      <c r="E28" s="36"/>
      <c r="F28" s="36"/>
      <c r="G28" s="36"/>
      <c r="H28" s="37"/>
    </row>
    <row r="29" spans="1:8" x14ac:dyDescent="0.25">
      <c r="A29" s="6">
        <v>29</v>
      </c>
      <c r="B29" s="7">
        <v>30</v>
      </c>
      <c r="C29" s="30"/>
      <c r="D29" s="29"/>
      <c r="E29" s="29"/>
      <c r="F29" s="29"/>
      <c r="G29" s="29"/>
      <c r="H29" s="29"/>
    </row>
    <row r="30" spans="1:8" x14ac:dyDescent="0.25">
      <c r="A30" s="6">
        <v>30</v>
      </c>
      <c r="B30" s="7">
        <v>29</v>
      </c>
      <c r="C30" s="30"/>
      <c r="D30" s="29"/>
      <c r="E30" s="29"/>
      <c r="F30" s="29"/>
      <c r="G30" s="29"/>
      <c r="H30" s="29"/>
    </row>
    <row r="31" spans="1:8" x14ac:dyDescent="0.25">
      <c r="A31" s="6">
        <v>31</v>
      </c>
      <c r="B31" s="7">
        <v>32</v>
      </c>
      <c r="C31" s="30"/>
      <c r="D31" s="29"/>
      <c r="E31" s="29"/>
      <c r="F31" s="29"/>
      <c r="G31" s="29"/>
      <c r="H31" s="29"/>
    </row>
    <row r="32" spans="1:8" x14ac:dyDescent="0.25">
      <c r="A32" s="6">
        <v>32</v>
      </c>
      <c r="B32" s="7">
        <v>32</v>
      </c>
      <c r="C32" s="30"/>
      <c r="D32" s="29"/>
      <c r="E32" s="29"/>
      <c r="F32" s="29"/>
      <c r="G32" s="29"/>
      <c r="H32" s="29"/>
    </row>
    <row r="33" spans="1:10" x14ac:dyDescent="0.25">
      <c r="A33" s="6">
        <v>33</v>
      </c>
      <c r="B33" s="7">
        <v>29</v>
      </c>
    </row>
    <row r="34" spans="1:10" x14ac:dyDescent="0.25">
      <c r="A34" s="6">
        <v>34</v>
      </c>
      <c r="B34" s="7">
        <v>23</v>
      </c>
    </row>
    <row r="35" spans="1:10" x14ac:dyDescent="0.25">
      <c r="A35" s="6">
        <v>35</v>
      </c>
      <c r="B35" s="7">
        <v>22</v>
      </c>
    </row>
    <row r="36" spans="1:10" x14ac:dyDescent="0.25">
      <c r="A36" s="6">
        <v>36</v>
      </c>
      <c r="B36" s="7">
        <v>21</v>
      </c>
    </row>
    <row r="37" spans="1:10" x14ac:dyDescent="0.25">
      <c r="A37" s="6">
        <v>37</v>
      </c>
      <c r="B37" s="7">
        <v>23</v>
      </c>
    </row>
    <row r="38" spans="1:10" x14ac:dyDescent="0.25">
      <c r="A38" s="6">
        <v>38</v>
      </c>
      <c r="B38" s="7">
        <v>20</v>
      </c>
    </row>
    <row r="39" spans="1:10" x14ac:dyDescent="0.25">
      <c r="A39" s="6">
        <v>39</v>
      </c>
      <c r="B39" s="7">
        <v>24</v>
      </c>
    </row>
    <row r="40" spans="1:10" ht="15.75" thickBot="1" x14ac:dyDescent="0.3">
      <c r="A40" s="24">
        <v>40</v>
      </c>
      <c r="B40" s="26">
        <v>25</v>
      </c>
    </row>
    <row r="42" spans="1:10" x14ac:dyDescent="0.25">
      <c r="I42" s="16"/>
      <c r="J42" s="16"/>
    </row>
  </sheetData>
  <mergeCells count="2">
    <mergeCell ref="C27:H27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Ahmed</dc:creator>
  <cp:lastModifiedBy>Tanvir Ahmed</cp:lastModifiedBy>
  <dcterms:created xsi:type="dcterms:W3CDTF">2026-06-24T02:21:13Z</dcterms:created>
  <dcterms:modified xsi:type="dcterms:W3CDTF">2026-06-24T03:10:59Z</dcterms:modified>
</cp:coreProperties>
</file>