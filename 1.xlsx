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bir\Downloads\"/>
    </mc:Choice>
  </mc:AlternateContent>
  <xr:revisionPtr revIDLastSave="0" documentId="13_ncr:1_{51DEEE73-8F58-45F6-B8C8-B18064C02ED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RandomUnique">LAMDA(total, pick, INDEX(_xlfn.SORTBY(_xlfn.SEQUENCE(total,,1,1), _xlfn.RANDARRAY(total)), _xlfn.SEQUENCE(pick)))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4" i="1" l="1"/>
  <c r="F33" i="1"/>
  <c r="E107" i="1"/>
  <c r="D92" i="1"/>
  <c r="G79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C33" i="1"/>
  <c r="E16" i="1" s="1"/>
  <c r="E12" i="1"/>
  <c r="K33" i="1" s="1"/>
  <c r="E13" i="1"/>
  <c r="E14" i="1"/>
  <c r="E15" i="1"/>
  <c r="E11" i="1"/>
</calcChain>
</file>

<file path=xl/sharedStrings.xml><?xml version="1.0" encoding="utf-8"?>
<sst xmlns="http://schemas.openxmlformats.org/spreadsheetml/2006/main" count="78" uniqueCount="72">
  <si>
    <t>Problem-1</t>
  </si>
  <si>
    <t>Name</t>
  </si>
  <si>
    <t>Height(y)</t>
  </si>
  <si>
    <t>Student</t>
  </si>
  <si>
    <t>Alom</t>
  </si>
  <si>
    <t>Asad</t>
  </si>
  <si>
    <t>Momin</t>
  </si>
  <si>
    <t>Ali</t>
  </si>
  <si>
    <t>Ripon</t>
  </si>
  <si>
    <t>Kalam</t>
  </si>
  <si>
    <t>a) calculate the population mean (Y.bar) and varince (sigma.square) and mean square error(s.square)</t>
  </si>
  <si>
    <t>b)</t>
  </si>
  <si>
    <t>b) Enumaret all possible samples of size two by using SRSWOR</t>
  </si>
  <si>
    <t xml:space="preserve">        ii) Show that sample varince sample varince is and unbiased estimate of population variance </t>
  </si>
  <si>
    <t xml:space="preserve">        iii) </t>
  </si>
  <si>
    <t xml:space="preserve">         i)  Show that sample mean give an unbiased estimate of population mean and find its sampling variance </t>
  </si>
  <si>
    <t>c) comments on your finding</t>
  </si>
  <si>
    <t>Solve-1</t>
  </si>
  <si>
    <t>a)</t>
  </si>
  <si>
    <t>Population mean</t>
  </si>
  <si>
    <t>cm</t>
  </si>
  <si>
    <t>Y.bar</t>
  </si>
  <si>
    <t>Population variance</t>
  </si>
  <si>
    <t xml:space="preserve">(yi-Y.bar)^2 </t>
  </si>
  <si>
    <t>cm^2</t>
  </si>
  <si>
    <t>Mean  square error</t>
  </si>
  <si>
    <t>MSE</t>
  </si>
  <si>
    <t>Sigma.E</t>
  </si>
  <si>
    <t xml:space="preserve">cm^2 </t>
  </si>
  <si>
    <t xml:space="preserve">No. of all possible samples by using SRSWOR will be, </t>
  </si>
  <si>
    <t>=</t>
  </si>
  <si>
    <t>for sample size n=2 ,which is drawn by using SRSWOR from a population of size 6</t>
  </si>
  <si>
    <t>Sample mean</t>
  </si>
  <si>
    <t>Sample variance</t>
  </si>
  <si>
    <t>Now, all the possible samples of size 2 and other related statitics are given below:</t>
  </si>
  <si>
    <t>SL</t>
  </si>
  <si>
    <t>Sample Unit</t>
  </si>
  <si>
    <t>y.bar</t>
  </si>
  <si>
    <t>s.square</t>
  </si>
  <si>
    <t>(1,2)</t>
  </si>
  <si>
    <t>(1,3)</t>
  </si>
  <si>
    <t>(1,4)</t>
  </si>
  <si>
    <t>(1,5)</t>
  </si>
  <si>
    <t>(1,6)</t>
  </si>
  <si>
    <t>(2,3)</t>
  </si>
  <si>
    <t>(2,4)</t>
  </si>
  <si>
    <t>(2,5)</t>
  </si>
  <si>
    <t>(2,6)</t>
  </si>
  <si>
    <t>(3,5)</t>
  </si>
  <si>
    <t>(3,6)</t>
  </si>
  <si>
    <t>(4,5)</t>
  </si>
  <si>
    <t>(5,6)</t>
  </si>
  <si>
    <t>(4,6)</t>
  </si>
  <si>
    <t>(3,4)</t>
  </si>
  <si>
    <t>Height(cm),yi</t>
  </si>
  <si>
    <t xml:space="preserve">i) </t>
  </si>
  <si>
    <t xml:space="preserve">we have to show that </t>
  </si>
  <si>
    <t xml:space="preserve">here </t>
  </si>
  <si>
    <t>hence, we can say sample mean gives unbiased estimate of population mean</t>
  </si>
  <si>
    <t xml:space="preserve">we obtain in (a) that population mean </t>
  </si>
  <si>
    <t>;</t>
  </si>
  <si>
    <t>ii)</t>
  </si>
  <si>
    <t>here</t>
  </si>
  <si>
    <t xml:space="preserve">and sampling variance is </t>
  </si>
  <si>
    <t>Since,</t>
  </si>
  <si>
    <t xml:space="preserve">hence we can say Sampling varience is an unbiased estimate of population variance </t>
  </si>
  <si>
    <t>iii)</t>
  </si>
  <si>
    <t xml:space="preserve">we obtail in (i) sampling variance </t>
  </si>
  <si>
    <t xml:space="preserve">Here ,  unbiased estimator is, </t>
  </si>
  <si>
    <t>Now</t>
  </si>
  <si>
    <t>(showed)</t>
  </si>
  <si>
    <t>therefore,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</si>
</sst>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0" fontId="0" fillId="6" borderId="0" xfId="0" applyFill="1"/>
    <xf numFmtId="0" fontId="0" fillId="7" borderId="0" xfId="0" applyFill="1" applyAlignment="1">
      <alignment horizontal="right"/>
    </xf>
    <xf numFmtId="0" fontId="0" fillId="7" borderId="0" xfId="0" applyFill="1" applyAlignment="1">
      <alignment horizontal="center" vertical="center"/>
    </xf>
    <xf numFmtId="0" fontId="0" fillId="7" borderId="0" xfId="0" applyFill="1"/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0" fillId="3" borderId="0" xfId="0" applyFill="1" applyAlignment="1">
      <alignment horizontal="right"/>
    </xf>
    <xf numFmtId="0" fontId="0" fillId="9" borderId="0" xfId="0" applyFill="1"/>
    <xf numFmtId="0" fontId="0" fillId="10" borderId="0" xfId="0" applyFill="1" applyAlignment="1">
      <alignment horizontal="center"/>
    </xf>
    <xf numFmtId="0" fontId="0" fillId="4" borderId="0" xfId="0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left"/>
    </xf>
    <xf numFmtId="0" fontId="0" fillId="9" borderId="0" xfId="0" applyFill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/>
    <xf numFmtId="0" fontId="0" fillId="9" borderId="3" xfId="0" applyFill="1" applyBorder="1"/>
    <xf numFmtId="0" fontId="0" fillId="0" borderId="4" xfId="0" applyBorder="1"/>
    <xf numFmtId="0" fontId="0" fillId="0" borderId="0" xfId="0" applyBorder="1" applyAlignment="1">
      <alignment horizontal="center" vertical="center"/>
    </xf>
    <xf numFmtId="0" fontId="0" fillId="0" borderId="0" xfId="0" applyBorder="1"/>
    <xf numFmtId="164" fontId="0" fillId="0" borderId="5" xfId="0" applyNumberFormat="1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7" xfId="0" applyBorder="1"/>
    <xf numFmtId="164" fontId="0" fillId="0" borderId="8" xfId="0" applyNumberFormat="1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0" xfId="0" applyNumberForma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3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603250</xdr:colOff>
      <xdr:row>4</xdr:row>
      <xdr:rowOff>12700</xdr:rowOff>
    </xdr:from>
    <xdr:to>
      <xdr:col>6</xdr:col>
      <xdr:colOff>0</xdr:colOff>
      <xdr:row>7</xdr:row>
      <xdr:rowOff>177800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60219D-EDB8-4E3E-B9F6-467B5E3F2474}"/>
            </a:ext>
          </a:extLst>
        </xdr:cNvPr>
        <xdr:cNvSpPr txBox="1"/>
      </xdr:nvSpPr>
      <xdr:spPr>
        <a:xfrm>
          <a:off x="603250" y="749300"/>
          <a:ext cx="3810000" cy="717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height (in cm) of 6 students at M.S.C majoring in statistics from RU during 2016. So, the adat obtained are given below </a:t>
          </a:r>
        </a:p>
      </xdr:txBody>
    </xdr:sp>
    <xdr:clientData/>
  </xdr:twoCellAnchor>
  <xdr:oneCellAnchor>
    <xdr:from>
      <xdr:col>9</xdr:col>
      <xdr:colOff>536575</xdr:colOff>
      <xdr:row>7</xdr:row>
      <xdr:rowOff>180975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0A4C40-4263-439A-8EE6-A41A018760F6}"/>
            </a:ext>
          </a:extLst>
        </xdr:cNvPr>
        <xdr:cNvSpPr txBox="1"/>
      </xdr:nvSpPr>
      <xdr:spPr>
        <a:xfrm>
          <a:off x="5413375" y="147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111125</xdr:colOff>
      <xdr:row>13</xdr:row>
      <xdr:rowOff>3174</xdr:rowOff>
    </xdr:from>
    <xdr:ext cx="1704975" cy="18242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017335B-066E-4F6B-A159-F57B3621FD7D}"/>
                </a:ext>
              </a:extLst>
            </xdr:cNvPr>
            <xdr:cNvSpPr txBox="1"/>
          </xdr:nvSpPr>
          <xdr:spPr>
            <a:xfrm>
              <a:off x="3159125" y="2397124"/>
              <a:ext cx="1704975" cy="1824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5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05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𝑣</m:t>
                        </m:r>
                        <m:d>
                          <m:dPr>
                            <m:ctrlPr>
                              <a:rPr lang="en-US" sz="105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e>
                    </m:d>
                    <m:r>
                      <a:rPr lang="en-US" sz="105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en-US" sz="105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05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05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</m:e>
                    </m:d>
                  </m:oMath>
                </m:oMathPara>
              </a14:m>
              <a:endParaRPr lang="en-US" sz="105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017335B-066E-4F6B-A159-F57B3621FD7D}"/>
                </a:ext>
              </a:extLst>
            </xdr:cNvPr>
            <xdr:cNvSpPr txBox="1"/>
          </xdr:nvSpPr>
          <xdr:spPr>
            <a:xfrm>
              <a:off x="3159125" y="2397124"/>
              <a:ext cx="1704975" cy="1824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050" b="0" i="0">
                  <a:latin typeface="Cambria Math" panose="02040503050406030204" pitchFamily="18" charset="0"/>
                </a:rPr>
                <a:t>𝐸(𝑣(𝑦 ̅ ))=𝑉</a:t>
              </a:r>
              <a:r>
                <a:rPr lang="en-US" sz="105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(𝑦 ̅ )</a:t>
              </a:r>
              <a:endParaRPr lang="en-US" sz="1050"/>
            </a:p>
          </xdr:txBody>
        </xdr:sp>
      </mc:Fallback>
    </mc:AlternateContent>
    <xdr:clientData/>
  </xdr:oneCellAnchor>
  <xdr:oneCellAnchor>
    <xdr:from>
      <xdr:col>0</xdr:col>
      <xdr:colOff>304800</xdr:colOff>
      <xdr:row>26</xdr:row>
      <xdr:rowOff>133350</xdr:rowOff>
    </xdr:from>
    <xdr:ext cx="1727200" cy="844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4BE830B-D80D-4043-9CBE-28A3960FE4F0}"/>
                </a:ext>
              </a:extLst>
            </xdr:cNvPr>
            <xdr:cNvSpPr txBox="1"/>
          </xdr:nvSpPr>
          <xdr:spPr>
            <a:xfrm>
              <a:off x="304800" y="4972050"/>
              <a:ext cx="1727200" cy="844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/>
                <a:t> 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b="1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𝒀</m:t>
                            </m:r>
                          </m:e>
                        </m:acc>
                      </m:e>
                    </m:d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𝑵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𝑵</m:t>
                        </m:r>
                      </m:sup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𝒚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4BE830B-D80D-4043-9CBE-28A3960FE4F0}"/>
                </a:ext>
              </a:extLst>
            </xdr:cNvPr>
            <xdr:cNvSpPr txBox="1"/>
          </xdr:nvSpPr>
          <xdr:spPr>
            <a:xfrm>
              <a:off x="304800" y="4972050"/>
              <a:ext cx="1727200" cy="844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/>
                <a:t> </a:t>
              </a:r>
            </a:p>
            <a:p>
              <a:r>
                <a:rPr lang="en-US" sz="1100" b="1" i="0">
                  <a:latin typeface="Cambria Math" panose="02040503050406030204" pitchFamily="18" charset="0"/>
                </a:rPr>
                <a:t>(𝒀 ̅ )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=𝟏/𝑵 ∑_(𝒊=𝟏)^𝑵▒𝒚_𝒊 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4</xdr:col>
      <xdr:colOff>15875</xdr:colOff>
      <xdr:row>27</xdr:row>
      <xdr:rowOff>130175</xdr:rowOff>
    </xdr:from>
    <xdr:ext cx="1310422" cy="4759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FA94EA8-B681-44B6-999E-E6470D042B8B}"/>
                </a:ext>
              </a:extLst>
            </xdr:cNvPr>
            <xdr:cNvSpPr txBox="1"/>
          </xdr:nvSpPr>
          <xdr:spPr>
            <a:xfrm>
              <a:off x="2765425" y="5153025"/>
              <a:ext cx="1310422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𝝈</m:t>
                        </m:r>
                      </m:e>
                      <m:sup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p>
                    </m:sSup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𝑵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𝒊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  <m:sup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𝑵</m:t>
                        </m:r>
                      </m:sup>
                      <m:e>
                        <m:sSup>
                          <m:sSupPr>
                            <m:ctrlPr>
                              <a:rPr lang="en-US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𝒚</m:t>
                                    </m:r>
                                  </m:e>
                                  <m:sub>
                                    <m: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𝒊</m:t>
                                    </m:r>
                                  </m:sub>
                                </m:sSub>
                                <m:r>
                                  <a:rPr lang="en-US" sz="11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𝒀</m:t>
                                    </m:r>
                                  </m:e>
                                </m:acc>
                              </m:e>
                            </m:d>
                          </m:e>
                          <m:sup>
                            <m:r>
                              <a:rPr lang="en-US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</m:e>
                    </m:nary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</m:t>
                    </m:r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FA94EA8-B681-44B6-999E-E6470D042B8B}"/>
                </a:ext>
              </a:extLst>
            </xdr:cNvPr>
            <xdr:cNvSpPr txBox="1"/>
          </xdr:nvSpPr>
          <xdr:spPr>
            <a:xfrm>
              <a:off x="2765425" y="5153025"/>
              <a:ext cx="1310422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𝝈^𝟐=𝟏/𝑵 ∑24_(𝒊=𝟏)^𝑵▒(𝒚_𝒊−𝒀 ̅ )^𝟐    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9</xdr:col>
      <xdr:colOff>79375</xdr:colOff>
      <xdr:row>27</xdr:row>
      <xdr:rowOff>47625</xdr:rowOff>
    </xdr:from>
    <xdr:ext cx="2409825" cy="65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6A35507-2C0C-450E-8191-E7DFA4CAE2F3}"/>
                </a:ext>
              </a:extLst>
            </xdr:cNvPr>
            <xdr:cNvSpPr txBox="1"/>
          </xdr:nvSpPr>
          <xdr:spPr>
            <a:xfrm>
              <a:off x="6321425" y="5070475"/>
              <a:ext cx="2409825" cy="65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p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p>
                    </m:sSup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𝑵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𝒊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  <m:sup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𝑵</m:t>
                        </m:r>
                      </m:sup>
                      <m:e>
                        <m:sSup>
                          <m:sSupPr>
                            <m:ctrlPr>
                              <a:rPr lang="en-US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𝒚</m:t>
                                    </m:r>
                                  </m:e>
                                  <m:sub>
                                    <m: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𝒊</m:t>
                                    </m:r>
                                  </m:sub>
                                </m:sSub>
                                <m:r>
                                  <a:rPr lang="en-US" sz="11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𝒀</m:t>
                                    </m:r>
                                  </m:e>
                                </m:acc>
                              </m:e>
                            </m:d>
                          </m:e>
                          <m:sup>
                            <m:r>
                              <a:rPr lang="en-US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</m:e>
                    </m:nary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𝑵</m:t>
                        </m:r>
                      </m:num>
                      <m:den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𝑵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den>
                    </m:f>
                    <m:sSup>
                      <m:s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𝝈</m:t>
                        </m:r>
                      </m:e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p>
                    </m:sSup>
                  </m:oMath>
                </m:oMathPara>
              </a14:m>
              <a:endParaRPr lang="en-US" sz="11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</m:t>
                    </m:r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6A35507-2C0C-450E-8191-E7DFA4CAE2F3}"/>
                </a:ext>
              </a:extLst>
            </xdr:cNvPr>
            <xdr:cNvSpPr txBox="1"/>
          </xdr:nvSpPr>
          <xdr:spPr>
            <a:xfrm>
              <a:off x="6321425" y="5070475"/>
              <a:ext cx="2409825" cy="65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𝑺^𝟐=𝟏/(𝑵−𝟏) ∑24_(𝒊=𝟏)^𝑵▒(𝒚_𝒊−𝒀 ̅ )^𝟐 =𝑵/(𝑵−𝟏)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𝝈^𝟐</a:t>
              </a:r>
              <a:endParaRPr lang="en-US" sz="11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r>
                <a:rPr lang="en-U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 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5</xdr:col>
      <xdr:colOff>517525</xdr:colOff>
      <xdr:row>39</xdr:row>
      <xdr:rowOff>3175</xdr:rowOff>
    </xdr:from>
    <xdr:ext cx="239681" cy="1765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D9D54B8-2DE0-4EFA-86DB-A4B44F10B937}"/>
                </a:ext>
              </a:extLst>
            </xdr:cNvPr>
            <xdr:cNvSpPr txBox="1"/>
          </xdr:nvSpPr>
          <xdr:spPr>
            <a:xfrm>
              <a:off x="4098925" y="7299325"/>
              <a:ext cx="239681" cy="176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5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sSub>
                          <m:sSubPr>
                            <m:ctrlPr>
                              <a:rPr lang="en-US" sz="105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05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D9D54B8-2DE0-4EFA-86DB-A4B44F10B937}"/>
                </a:ext>
              </a:extLst>
            </xdr:cNvPr>
            <xdr:cNvSpPr txBox="1"/>
          </xdr:nvSpPr>
          <xdr:spPr>
            <a:xfrm>
              <a:off x="4098925" y="7299325"/>
              <a:ext cx="239681" cy="176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50" b="0" i="0">
                  <a:latin typeface="Cambria Math" panose="02040503050406030204" pitchFamily="18" charset="0"/>
                </a:rPr>
                <a:t>𝑁_(𝐶_𝑛 )</a:t>
              </a:r>
              <a:endParaRPr lang="en-US" sz="1050"/>
            </a:p>
          </xdr:txBody>
        </xdr:sp>
      </mc:Fallback>
    </mc:AlternateContent>
    <xdr:clientData/>
  </xdr:oneCellAnchor>
  <xdr:oneCellAnchor>
    <xdr:from>
      <xdr:col>7</xdr:col>
      <xdr:colOff>222250</xdr:colOff>
      <xdr:row>39</xdr:row>
      <xdr:rowOff>0</xdr:rowOff>
    </xdr:from>
    <xdr:ext cx="217752" cy="1757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DFB7203-A5C5-49B9-AF13-6678E7C791EA}"/>
                </a:ext>
              </a:extLst>
            </xdr:cNvPr>
            <xdr:cNvSpPr txBox="1"/>
          </xdr:nvSpPr>
          <xdr:spPr>
            <a:xfrm>
              <a:off x="5245100" y="7296150"/>
              <a:ext cx="217752" cy="175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5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6</m:t>
                        </m:r>
                      </m:e>
                      <m:sub>
                        <m:sSub>
                          <m:sSubPr>
                            <m:ctrlPr>
                              <a:rPr lang="en-US" sz="105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05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DFB7203-A5C5-49B9-AF13-6678E7C791EA}"/>
                </a:ext>
              </a:extLst>
            </xdr:cNvPr>
            <xdr:cNvSpPr txBox="1"/>
          </xdr:nvSpPr>
          <xdr:spPr>
            <a:xfrm>
              <a:off x="5245100" y="7296150"/>
              <a:ext cx="217752" cy="175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50" b="0" i="0">
                  <a:latin typeface="Cambria Math" panose="02040503050406030204" pitchFamily="18" charset="0"/>
                </a:rPr>
                <a:t>6_(𝐶_2 )</a:t>
              </a:r>
              <a:endParaRPr lang="en-US" sz="1050"/>
            </a:p>
          </xdr:txBody>
        </xdr:sp>
      </mc:Fallback>
    </mc:AlternateContent>
    <xdr:clientData/>
  </xdr:oneCellAnchor>
  <xdr:oneCellAnchor>
    <xdr:from>
      <xdr:col>3</xdr:col>
      <xdr:colOff>431800</xdr:colOff>
      <xdr:row>41</xdr:row>
      <xdr:rowOff>57150</xdr:rowOff>
    </xdr:from>
    <xdr:ext cx="1727200" cy="844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BEC29E2-E146-42AA-A30A-ABA3E18FFE01}"/>
                </a:ext>
              </a:extLst>
            </xdr:cNvPr>
            <xdr:cNvSpPr txBox="1"/>
          </xdr:nvSpPr>
          <xdr:spPr>
            <a:xfrm>
              <a:off x="2349500" y="7721600"/>
              <a:ext cx="1727200" cy="844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050" b="1"/>
                <a:t> 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05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050" b="1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050" b="1" i="1">
                                <a:latin typeface="Cambria Math" panose="02040503050406030204" pitchFamily="18" charset="0"/>
                              </a:rPr>
                              <m:t>𝒚</m:t>
                            </m:r>
                          </m:e>
                        </m:acc>
                      </m:e>
                    </m:d>
                    <m:r>
                      <a:rPr lang="en-US" sz="105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num>
                      <m:den>
                        <m:r>
                          <a:rPr lang="en-US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  <m:sup>
                        <m:r>
                          <a:rPr lang="en-US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p>
                      <m:e>
                        <m:sSub>
                          <m:sSubPr>
                            <m:ctrlPr>
                              <a:rPr lang="en-US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𝒚</m:t>
                            </m:r>
                          </m:e>
                          <m:sub>
                            <m:r>
                              <a:rPr lang="en-US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050" b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BEC29E2-E146-42AA-A30A-ABA3E18FFE01}"/>
                </a:ext>
              </a:extLst>
            </xdr:cNvPr>
            <xdr:cNvSpPr txBox="1"/>
          </xdr:nvSpPr>
          <xdr:spPr>
            <a:xfrm>
              <a:off x="2349500" y="7721600"/>
              <a:ext cx="1727200" cy="844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050" b="1"/>
                <a:t> </a:t>
              </a:r>
            </a:p>
            <a:p>
              <a:r>
                <a:rPr lang="en-US" sz="1050" b="1" i="0">
                  <a:latin typeface="Cambria Math" panose="02040503050406030204" pitchFamily="18" charset="0"/>
                </a:rPr>
                <a:t>(𝒚 ̅ )</a:t>
              </a:r>
              <a:r>
                <a:rPr lang="en-US" sz="105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=𝟏/</a:t>
              </a:r>
              <a:r>
                <a:rPr lang="en-US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n-US" sz="105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∑_(𝒊=𝟏)^</a:t>
              </a:r>
              <a:r>
                <a:rPr lang="en-US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n-US" sz="105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▒𝒚_𝒊 </a:t>
              </a:r>
              <a:endParaRPr lang="en-US" sz="1050" b="1"/>
            </a:p>
          </xdr:txBody>
        </xdr:sp>
      </mc:Fallback>
    </mc:AlternateContent>
    <xdr:clientData/>
  </xdr:oneCellAnchor>
  <xdr:oneCellAnchor>
    <xdr:from>
      <xdr:col>3</xdr:col>
      <xdr:colOff>450850</xdr:colOff>
      <xdr:row>45</xdr:row>
      <xdr:rowOff>31750</xdr:rowOff>
    </xdr:from>
    <xdr:ext cx="2409825" cy="6959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12FBF5C-674F-4C39-9E0B-5449495B3C56}"/>
                </a:ext>
              </a:extLst>
            </xdr:cNvPr>
            <xdr:cNvSpPr txBox="1"/>
          </xdr:nvSpPr>
          <xdr:spPr>
            <a:xfrm>
              <a:off x="2368550" y="8432800"/>
              <a:ext cx="2409825" cy="695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p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p>
                    </m:sSup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𝒊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  <m:sup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p>
                      <m:e>
                        <m:sSup>
                          <m:sSupPr>
                            <m:ctrlPr>
                              <a:rPr lang="en-US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𝒚</m:t>
                                    </m:r>
                                  </m:e>
                                  <m:sub>
                                    <m: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𝒊</m:t>
                                    </m:r>
                                  </m:sub>
                                </m:sSub>
                                <m:r>
                                  <a:rPr lang="en-US" sz="11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𝒀</m:t>
                                    </m:r>
                                  </m:e>
                                </m:acc>
                              </m:e>
                            </m:d>
                          </m:e>
                          <m:sup>
                            <m:r>
                              <a:rPr lang="en-US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11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</m:t>
                    </m:r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12FBF5C-674F-4C39-9E0B-5449495B3C56}"/>
                </a:ext>
              </a:extLst>
            </xdr:cNvPr>
            <xdr:cNvSpPr txBox="1"/>
          </xdr:nvSpPr>
          <xdr:spPr>
            <a:xfrm>
              <a:off x="2368550" y="8432800"/>
              <a:ext cx="2409825" cy="695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𝑺^𝟐=𝟏/(𝟐−𝟏) ∑24_(𝒊=𝟏)^𝟐▒(𝒚_𝒊−𝒀 ̅ )^𝟐 </a:t>
              </a:r>
              <a:endParaRPr lang="en-US" sz="11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r>
                <a:rPr lang="en-U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 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4</xdr:col>
      <xdr:colOff>28575</xdr:colOff>
      <xdr:row>72</xdr:row>
      <xdr:rowOff>15875</xdr:rowOff>
    </xdr:from>
    <xdr:ext cx="596189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5931110-8AF4-488B-BC8E-551345A43289}"/>
                </a:ext>
              </a:extLst>
            </xdr:cNvPr>
            <xdr:cNvSpPr txBox="1"/>
          </xdr:nvSpPr>
          <xdr:spPr>
            <a:xfrm>
              <a:off x="2778125" y="13388975"/>
              <a:ext cx="596189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5931110-8AF4-488B-BC8E-551345A43289}"/>
                </a:ext>
              </a:extLst>
            </xdr:cNvPr>
            <xdr:cNvSpPr txBox="1"/>
          </xdr:nvSpPr>
          <xdr:spPr>
            <a:xfrm>
              <a:off x="2778125" y="13388975"/>
              <a:ext cx="596189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𝐸(𝑦 ̅ )=𝑌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85725</xdr:colOff>
      <xdr:row>74</xdr:row>
      <xdr:rowOff>28575</xdr:rowOff>
    </xdr:from>
    <xdr:ext cx="1208408" cy="4782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ACDFB3F-4755-49DA-96F0-DDD5401F12E6}"/>
                </a:ext>
              </a:extLst>
            </xdr:cNvPr>
            <xdr:cNvSpPr txBox="1"/>
          </xdr:nvSpPr>
          <xdr:spPr>
            <a:xfrm>
              <a:off x="2095500" y="13535025"/>
              <a:ext cx="1208408" cy="4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15</m:t>
                        </m:r>
                      </m:sup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ACDFB3F-4755-49DA-96F0-DDD5401F12E6}"/>
                </a:ext>
              </a:extLst>
            </xdr:cNvPr>
            <xdr:cNvSpPr txBox="1"/>
          </xdr:nvSpPr>
          <xdr:spPr>
            <a:xfrm>
              <a:off x="2095500" y="13535025"/>
              <a:ext cx="1208408" cy="4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𝐸(𝑦 ̅ )=∑_(𝑖=1)^15▒〖𝑦 ̅_𝑖.𝑝(𝑦 ̅_𝑖)〗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66675</xdr:colOff>
      <xdr:row>77</xdr:row>
      <xdr:rowOff>22225</xdr:rowOff>
    </xdr:from>
    <xdr:ext cx="2226635" cy="4782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DAB6B2-ECCE-4F95-B740-1871E8AC1C80}"/>
                </a:ext>
              </a:extLst>
            </xdr:cNvPr>
            <xdr:cNvSpPr txBox="1"/>
          </xdr:nvSpPr>
          <xdr:spPr>
            <a:xfrm>
              <a:off x="2075315" y="14011144"/>
              <a:ext cx="2226635" cy="4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15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15</m:t>
                        </m:r>
                      </m:sup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+…+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15</m:t>
                                </m:r>
                              </m:sub>
                            </m:sSub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DAB6B2-ECCE-4F95-B740-1871E8AC1C80}"/>
                </a:ext>
              </a:extLst>
            </xdr:cNvPr>
            <xdr:cNvSpPr txBox="1"/>
          </xdr:nvSpPr>
          <xdr:spPr>
            <a:xfrm>
              <a:off x="2075315" y="14011144"/>
              <a:ext cx="2226635" cy="4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𝐸(𝑦 ̅ )=1/15 ∑_(𝑖=1)^15▒〖(𝑦 ̅_1+𝑦 ̅_2+…+𝑦 ̅_15 )=〗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146050</xdr:colOff>
      <xdr:row>81</xdr:row>
      <xdr:rowOff>19050</xdr:rowOff>
    </xdr:from>
    <xdr:ext cx="538417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B5BCA06-2160-4E06-B558-D99FA263FD79}"/>
                </a:ext>
              </a:extLst>
            </xdr:cNvPr>
            <xdr:cNvSpPr txBox="1"/>
          </xdr:nvSpPr>
          <xdr:spPr>
            <a:xfrm>
              <a:off x="3727450" y="15049500"/>
              <a:ext cx="538417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=174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B5BCA06-2160-4E06-B558-D99FA263FD79}"/>
                </a:ext>
              </a:extLst>
            </xdr:cNvPr>
            <xdr:cNvSpPr txBox="1"/>
          </xdr:nvSpPr>
          <xdr:spPr>
            <a:xfrm>
              <a:off x="3727450" y="15049500"/>
              <a:ext cx="538417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𝑌 ̅=174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196850</xdr:colOff>
      <xdr:row>81</xdr:row>
      <xdr:rowOff>19050</xdr:rowOff>
    </xdr:from>
    <xdr:ext cx="1014252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C706C54-3DDE-4BF8-AE64-C6BFB57E47C2}"/>
                </a:ext>
              </a:extLst>
            </xdr:cNvPr>
            <xdr:cNvSpPr txBox="1"/>
          </xdr:nvSpPr>
          <xdr:spPr>
            <a:xfrm>
              <a:off x="4610100" y="15049500"/>
              <a:ext cx="1014252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=174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C706C54-3DDE-4BF8-AE64-C6BFB57E47C2}"/>
                </a:ext>
              </a:extLst>
            </xdr:cNvPr>
            <xdr:cNvSpPr txBox="1"/>
          </xdr:nvSpPr>
          <xdr:spPr>
            <a:xfrm>
              <a:off x="4610100" y="15049500"/>
              <a:ext cx="1014252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𝐸(𝑦 ̅ )=𝑌 ̅=174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97</xdr:row>
      <xdr:rowOff>0</xdr:rowOff>
    </xdr:from>
    <xdr:ext cx="71083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9A361B5-9A2A-47EA-B767-19DC129B03E3}"/>
                </a:ext>
              </a:extLst>
            </xdr:cNvPr>
            <xdr:cNvSpPr txBox="1"/>
          </xdr:nvSpPr>
          <xdr:spPr>
            <a:xfrm>
              <a:off x="2749550" y="16135350"/>
              <a:ext cx="71083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9A361B5-9A2A-47EA-B767-19DC129B03E3}"/>
                </a:ext>
              </a:extLst>
            </xdr:cNvPr>
            <xdr:cNvSpPr txBox="1"/>
          </xdr:nvSpPr>
          <xdr:spPr>
            <a:xfrm>
              <a:off x="2749550" y="16135350"/>
              <a:ext cx="71083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𝑠^2 )</a:t>
              </a:r>
              <a:r>
                <a:rPr lang="en-US" sz="1100" b="0" i="0">
                  <a:latin typeface="Cambria Math" panose="02040503050406030204" pitchFamily="18" charset="0"/>
                </a:rPr>
                <a:t>=𝑆^2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100</xdr:row>
      <xdr:rowOff>0</xdr:rowOff>
    </xdr:from>
    <xdr:ext cx="1329531" cy="4782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0269AA95-60B3-4FC2-9884-E6430D65D2D0}"/>
                </a:ext>
              </a:extLst>
            </xdr:cNvPr>
            <xdr:cNvSpPr txBox="1"/>
          </xdr:nvSpPr>
          <xdr:spPr>
            <a:xfrm>
              <a:off x="1917700" y="16687800"/>
              <a:ext cx="1329531" cy="4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15</m:t>
                        </m:r>
                      </m:sup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.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0269AA95-60B3-4FC2-9884-E6430D65D2D0}"/>
                </a:ext>
              </a:extLst>
            </xdr:cNvPr>
            <xdr:cNvSpPr txBox="1"/>
          </xdr:nvSpPr>
          <xdr:spPr>
            <a:xfrm>
              <a:off x="1917700" y="16687800"/>
              <a:ext cx="1329531" cy="4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𝑠^2 )</a:t>
              </a:r>
              <a:r>
                <a:rPr lang="en-US" sz="1100" b="0" i="0">
                  <a:latin typeface="Cambria Math" panose="02040503050406030204" pitchFamily="18" charset="0"/>
                </a:rPr>
                <a:t>=∑24_(𝑖=1)^15▒〖𝑠^2  .𝑝(𝑠^2)〗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327025</xdr:colOff>
      <xdr:row>88</xdr:row>
      <xdr:rowOff>98425</xdr:rowOff>
    </xdr:from>
    <xdr:ext cx="1088310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73B5993-5FA9-4702-8DF7-12EE830C7AA4}"/>
                </a:ext>
              </a:extLst>
            </xdr:cNvPr>
            <xdr:cNvSpPr txBox="1"/>
          </xdr:nvSpPr>
          <xdr:spPr>
            <a:xfrm>
              <a:off x="1546225" y="16417925"/>
              <a:ext cx="1088310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𝑁𝑛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.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73B5993-5FA9-4702-8DF7-12EE830C7AA4}"/>
                </a:ext>
              </a:extLst>
            </xdr:cNvPr>
            <xdr:cNvSpPr txBox="1"/>
          </xdr:nvSpPr>
          <xdr:spPr>
            <a:xfrm>
              <a:off x="1546225" y="16417925"/>
              <a:ext cx="1088310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𝑉(𝑦 ̅ )=(𝑁−𝑛)/𝑁𝑛.𝑆^2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219075</xdr:colOff>
      <xdr:row>90</xdr:row>
      <xdr:rowOff>180975</xdr:rowOff>
    </xdr:from>
    <xdr:ext cx="46762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749208FF-D931-4667-BB3A-558894046B28}"/>
                </a:ext>
              </a:extLst>
            </xdr:cNvPr>
            <xdr:cNvSpPr txBox="1"/>
          </xdr:nvSpPr>
          <xdr:spPr>
            <a:xfrm>
              <a:off x="1438275" y="16868775"/>
              <a:ext cx="4676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749208FF-D931-4667-BB3A-558894046B28}"/>
                </a:ext>
              </a:extLst>
            </xdr:cNvPr>
            <xdr:cNvSpPr txBox="1"/>
          </xdr:nvSpPr>
          <xdr:spPr>
            <a:xfrm>
              <a:off x="1438275" y="16868775"/>
              <a:ext cx="4676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𝑉(𝑦 ̅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6350</xdr:colOff>
      <xdr:row>103</xdr:row>
      <xdr:rowOff>31750</xdr:rowOff>
    </xdr:from>
    <xdr:ext cx="1153136" cy="4782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10E9421B-8325-48A1-8510-BAEBB8A66262}"/>
                </a:ext>
              </a:extLst>
            </xdr:cNvPr>
            <xdr:cNvSpPr txBox="1"/>
          </xdr:nvSpPr>
          <xdr:spPr>
            <a:xfrm>
              <a:off x="1924050" y="19113500"/>
              <a:ext cx="1153136" cy="4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15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15</m:t>
                        </m:r>
                      </m:sup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10E9421B-8325-48A1-8510-BAEBB8A66262}"/>
                </a:ext>
              </a:extLst>
            </xdr:cNvPr>
            <xdr:cNvSpPr txBox="1"/>
          </xdr:nvSpPr>
          <xdr:spPr>
            <a:xfrm>
              <a:off x="1924050" y="19113500"/>
              <a:ext cx="1153136" cy="4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𝑠^2 )</a:t>
              </a:r>
              <a:r>
                <a:rPr lang="en-US" sz="1100" b="0" i="0">
                  <a:latin typeface="Cambria Math" panose="02040503050406030204" pitchFamily="18" charset="0"/>
                </a:rPr>
                <a:t>=1/15  ∑24_(𝑖=1)^15▒〖𝑠^2  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57150</xdr:colOff>
      <xdr:row>106</xdr:row>
      <xdr:rowOff>12700</xdr:rowOff>
    </xdr:from>
    <xdr:ext cx="52437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436D9C3-85F5-47CF-B0F7-2127B350DD6B}"/>
                </a:ext>
              </a:extLst>
            </xdr:cNvPr>
            <xdr:cNvSpPr txBox="1"/>
          </xdr:nvSpPr>
          <xdr:spPr>
            <a:xfrm>
              <a:off x="1974850" y="19646900"/>
              <a:ext cx="52437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436D9C3-85F5-47CF-B0F7-2127B350DD6B}"/>
                </a:ext>
              </a:extLst>
            </xdr:cNvPr>
            <xdr:cNvSpPr txBox="1"/>
          </xdr:nvSpPr>
          <xdr:spPr>
            <a:xfrm>
              <a:off x="1974850" y="19646900"/>
              <a:ext cx="52437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𝑠^2 )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12700</xdr:colOff>
      <xdr:row>109</xdr:row>
      <xdr:rowOff>177800</xdr:rowOff>
    </xdr:from>
    <xdr:ext cx="144430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EBCFCE0-CF54-4F61-B3EE-FC97B7A4BAED}"/>
                </a:ext>
              </a:extLst>
            </xdr:cNvPr>
            <xdr:cNvSpPr txBox="1"/>
          </xdr:nvSpPr>
          <xdr:spPr>
            <a:xfrm>
              <a:off x="1930400" y="20364450"/>
              <a:ext cx="144430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=34.4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𝑐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EBCFCE0-CF54-4F61-B3EE-FC97B7A4BAED}"/>
                </a:ext>
              </a:extLst>
            </xdr:cNvPr>
            <xdr:cNvSpPr txBox="1"/>
          </xdr:nvSpPr>
          <xdr:spPr>
            <a:xfrm>
              <a:off x="1930400" y="20364450"/>
              <a:ext cx="144430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𝑠^2 )</a:t>
              </a:r>
              <a:r>
                <a:rPr lang="en-US" sz="1100" b="0" i="0">
                  <a:latin typeface="Cambria Math" panose="02040503050406030204" pitchFamily="18" charset="0"/>
                </a:rPr>
                <a:t>=𝑆^2=34.4 𝑐𝑚^2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263525</xdr:colOff>
      <xdr:row>115</xdr:row>
      <xdr:rowOff>180975</xdr:rowOff>
    </xdr:from>
    <xdr:ext cx="11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FA34393-1719-4E43-B4EF-768C902A3726}"/>
                </a:ext>
              </a:extLst>
            </xdr:cNvPr>
            <xdr:cNvSpPr txBox="1"/>
          </xdr:nvSpPr>
          <xdr:spPr>
            <a:xfrm>
              <a:off x="3013075" y="21472525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FA34393-1719-4E43-B4EF-768C902A3726}"/>
                </a:ext>
              </a:extLst>
            </xdr:cNvPr>
            <xdr:cNvSpPr txBox="1"/>
          </xdr:nvSpPr>
          <xdr:spPr>
            <a:xfrm>
              <a:off x="3013075" y="21472525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0</xdr:colOff>
      <xdr:row>118</xdr:row>
      <xdr:rowOff>0</xdr:rowOff>
    </xdr:from>
    <xdr:ext cx="136890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B8B37C6F-3B95-451A-BAA9-B3A2AF13216F}"/>
                </a:ext>
              </a:extLst>
            </xdr:cNvPr>
            <xdr:cNvSpPr txBox="1"/>
          </xdr:nvSpPr>
          <xdr:spPr>
            <a:xfrm>
              <a:off x="3581400" y="21844000"/>
              <a:ext cx="136890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=11.46666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𝑐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B8B37C6F-3B95-451A-BAA9-B3A2AF13216F}"/>
                </a:ext>
              </a:extLst>
            </xdr:cNvPr>
            <xdr:cNvSpPr txBox="1"/>
          </xdr:nvSpPr>
          <xdr:spPr>
            <a:xfrm>
              <a:off x="3581400" y="21844000"/>
              <a:ext cx="136890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𝑉(𝑦 ̅ )=11.46666 𝑐𝑚^2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47625</xdr:colOff>
      <xdr:row>121</xdr:row>
      <xdr:rowOff>98425</xdr:rowOff>
    </xdr:from>
    <xdr:ext cx="2150973" cy="2520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D77F18C9-50B1-441F-8B8C-95A6876A7DB8}"/>
                </a:ext>
              </a:extLst>
            </xdr:cNvPr>
            <xdr:cNvSpPr txBox="1"/>
          </xdr:nvSpPr>
          <xdr:spPr>
            <a:xfrm>
              <a:off x="2056265" y="22013328"/>
              <a:ext cx="2150973" cy="2520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𝐸</m:t>
                  </m:r>
                  <m:d>
                    <m:d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𝑣</m:t>
                      </m:r>
                      <m:d>
                        <m:d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acc>
                            <m:accPr>
                              <m:chr m:val="̅"/>
                              <m:ctrlPr>
                                <a:rPr lang="en-US" sz="11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𝑦</m:t>
                              </m:r>
                            </m:e>
                          </m:acc>
                        </m:e>
                      </m:d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𝐸</m:t>
                  </m:r>
                  <m:d>
                    <m:dPr>
                      <m:begChr m:val="["/>
                      <m:endChr m:val="]"/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𝑁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𝑛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𝑁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.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𝑛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.</m:t>
                      </m:r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𝑠</m:t>
                          </m:r>
                        </m:e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</m:e>
                  </m:d>
                </m:oMath>
              </a14:m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𝑁</m:t>
                          </m:r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−</m:t>
                          </m:r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𝑛</m:t>
                          </m:r>
                        </m:num>
                        <m:den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𝑁</m:t>
                          </m:r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.</m:t>
                          </m:r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𝑛</m:t>
                          </m:r>
                        </m:den>
                      </m:f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.</m:t>
                      </m:r>
                      <m:sSup>
                        <m:sSup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𝐸</m:t>
                          </m:r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</m:t>
                          </m:r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𝑠</m:t>
                          </m:r>
                        </m:e>
                        <m:sup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e>
                  </m:d>
                </m:oMath>
              </a14:m>
              <a:endParaRPr lang="en-US" sz="1100"/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D77F18C9-50B1-441F-8B8C-95A6876A7DB8}"/>
                </a:ext>
              </a:extLst>
            </xdr:cNvPr>
            <xdr:cNvSpPr txBox="1"/>
          </xdr:nvSpPr>
          <xdr:spPr>
            <a:xfrm>
              <a:off x="2056265" y="22013328"/>
              <a:ext cx="2150973" cy="2520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𝐸(𝑣(𝑦 ̅ ))=𝐸[(𝑁−𝑛)/(𝑁.𝑛).𝑠^2 ]</a:t>
              </a:r>
              <a:r>
                <a:rPr lang="en-US" sz="1100"/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[(𝑁−𝑛)/(𝑁.𝑛).〖𝐸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𝑠〗^2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581025</xdr:colOff>
      <xdr:row>124</xdr:row>
      <xdr:rowOff>22225</xdr:rowOff>
    </xdr:from>
    <xdr:ext cx="1129989" cy="3767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37ED8194-A7A3-45A4-BD09-FD77A978F29E}"/>
                </a:ext>
              </a:extLst>
            </xdr:cNvPr>
            <xdr:cNvSpPr txBox="1"/>
          </xdr:nvSpPr>
          <xdr:spPr>
            <a:xfrm>
              <a:off x="2498725" y="22971125"/>
              <a:ext cx="1129989" cy="3767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6−2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6.2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(34.4)</m:t>
                        </m:r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37ED8194-A7A3-45A4-BD09-FD77A978F29E}"/>
                </a:ext>
              </a:extLst>
            </xdr:cNvPr>
            <xdr:cNvSpPr txBox="1"/>
          </xdr:nvSpPr>
          <xdr:spPr>
            <a:xfrm>
              <a:off x="2498725" y="22971125"/>
              <a:ext cx="1129989" cy="3767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=𝐸[(6−2)/6.2(34.4)]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34925</xdr:colOff>
      <xdr:row>126</xdr:row>
      <xdr:rowOff>180975</xdr:rowOff>
    </xdr:from>
    <xdr:ext cx="1577355" cy="19107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498D2AD2-2A52-404D-B015-95EC0C8A9991}"/>
                </a:ext>
              </a:extLst>
            </xdr:cNvPr>
            <xdr:cNvSpPr txBox="1"/>
          </xdr:nvSpPr>
          <xdr:spPr>
            <a:xfrm>
              <a:off x="2044595" y="23154368"/>
              <a:ext cx="1577355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=11.46666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𝑐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498D2AD2-2A52-404D-B015-95EC0C8A9991}"/>
                </a:ext>
              </a:extLst>
            </xdr:cNvPr>
            <xdr:cNvSpPr txBox="1"/>
          </xdr:nvSpPr>
          <xdr:spPr>
            <a:xfrm>
              <a:off x="2044595" y="23154368"/>
              <a:ext cx="1577355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𝐸(𝑣(𝑦 ̅ ))=11.46666 𝑐𝑚^2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31750</xdr:colOff>
      <xdr:row>129</xdr:row>
      <xdr:rowOff>177800</xdr:rowOff>
    </xdr:from>
    <xdr:ext cx="2052293" cy="19107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E29E258-6137-48D3-8830-2201199B3EFA}"/>
                </a:ext>
              </a:extLst>
            </xdr:cNvPr>
            <xdr:cNvSpPr txBox="1"/>
          </xdr:nvSpPr>
          <xdr:spPr>
            <a:xfrm>
              <a:off x="2040390" y="23533791"/>
              <a:ext cx="2052293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d>
                      <m:d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11.46666 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𝑐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E29E258-6137-48D3-8830-2201199B3EFA}"/>
                </a:ext>
              </a:extLst>
            </xdr:cNvPr>
            <xdr:cNvSpPr txBox="1"/>
          </xdr:nvSpPr>
          <xdr:spPr>
            <a:xfrm>
              <a:off x="2040390" y="23533791"/>
              <a:ext cx="2052293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𝐸(𝑣(𝑦 ̅ ))=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𝑉(𝑦 ̅ )=</a:t>
              </a:r>
              <a:r>
                <a:rPr lang="en-US" sz="1100" b="0" i="0">
                  <a:latin typeface="Cambria Math" panose="02040503050406030204" pitchFamily="18" charset="0"/>
                </a:rPr>
                <a:t>11.46666 𝑐𝑚^2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1"/>
  <sheetViews>
    <sheetView tabSelected="1" topLeftCell="A118" zoomScale="193" workbookViewId="0">
      <selection activeCell="G121" sqref="G121"/>
    </sheetView>
  </sheetViews>
  <sheetFormatPr defaultRowHeight="14.25" x14ac:dyDescent="0.45"/>
  <cols>
    <col min="3" max="3" width="10" customWidth="1"/>
    <col min="4" max="5" width="11.9296875" bestFit="1" customWidth="1"/>
    <col min="6" max="6" width="11.9296875" customWidth="1"/>
  </cols>
  <sheetData>
    <row r="1" spans="1:17" ht="14.55" customHeight="1" x14ac:dyDescent="0.45">
      <c r="A1" s="2"/>
      <c r="B1" s="23" t="s">
        <v>0</v>
      </c>
      <c r="C1" s="23"/>
      <c r="D1" s="23"/>
      <c r="E1" s="23"/>
    </row>
    <row r="2" spans="1:17" ht="14.55" customHeight="1" x14ac:dyDescent="0.45">
      <c r="A2" s="2"/>
      <c r="B2" s="23"/>
      <c r="C2" s="23"/>
      <c r="D2" s="23"/>
      <c r="E2" s="23"/>
    </row>
    <row r="4" spans="1:17" ht="14.55" customHeight="1" x14ac:dyDescent="0.45">
      <c r="A4" s="3"/>
      <c r="B4" s="3"/>
      <c r="C4" s="3"/>
      <c r="D4" s="3"/>
      <c r="E4" s="3"/>
      <c r="F4" s="3"/>
      <c r="G4" s="3"/>
      <c r="H4" s="3"/>
    </row>
    <row r="5" spans="1:17" ht="14.55" customHeight="1" x14ac:dyDescent="0.45">
      <c r="A5" s="3"/>
      <c r="B5" s="3"/>
      <c r="C5" s="3"/>
      <c r="D5" s="3"/>
      <c r="E5" s="3"/>
      <c r="F5" s="3"/>
      <c r="G5" s="3"/>
      <c r="H5" s="3"/>
    </row>
    <row r="6" spans="1:17" ht="14.55" customHeight="1" x14ac:dyDescent="0.45">
      <c r="A6" s="3"/>
      <c r="B6" s="3"/>
      <c r="C6" s="3"/>
      <c r="D6" s="3"/>
      <c r="E6" s="3"/>
      <c r="F6" s="3"/>
      <c r="G6" s="3"/>
      <c r="H6" s="3"/>
    </row>
    <row r="7" spans="1:17" ht="14.55" customHeight="1" x14ac:dyDescent="0.45">
      <c r="A7" s="3"/>
      <c r="B7" s="3"/>
      <c r="C7" s="3"/>
      <c r="D7" s="3"/>
      <c r="E7" s="3"/>
      <c r="F7" s="3"/>
      <c r="G7" s="3"/>
      <c r="H7" s="3"/>
    </row>
    <row r="10" spans="1:17" x14ac:dyDescent="0.45">
      <c r="B10" s="4" t="s">
        <v>3</v>
      </c>
      <c r="C10" s="4" t="s">
        <v>1</v>
      </c>
      <c r="D10" s="4" t="s">
        <v>2</v>
      </c>
      <c r="E10" s="4" t="s">
        <v>23</v>
      </c>
      <c r="G10" s="21" t="s">
        <v>10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1:17" x14ac:dyDescent="0.45">
      <c r="B11" s="5">
        <v>1</v>
      </c>
      <c r="C11" s="5" t="s">
        <v>4</v>
      </c>
      <c r="D11" s="5">
        <v>168</v>
      </c>
      <c r="E11">
        <f>(D11-$C$33)^2</f>
        <v>36</v>
      </c>
      <c r="G11" s="21" t="s">
        <v>12</v>
      </c>
      <c r="H11" s="21"/>
      <c r="I11" s="21"/>
      <c r="J11" s="21"/>
      <c r="K11" s="21"/>
      <c r="L11" s="21"/>
      <c r="M11" s="21"/>
    </row>
    <row r="12" spans="1:17" x14ac:dyDescent="0.45">
      <c r="B12" s="5">
        <v>2</v>
      </c>
      <c r="C12" s="5" t="s">
        <v>5</v>
      </c>
      <c r="D12" s="5">
        <v>175</v>
      </c>
      <c r="E12">
        <f t="shared" ref="E12:E16" si="0">(D12-$C$33)^2</f>
        <v>1</v>
      </c>
      <c r="G12" t="s">
        <v>15</v>
      </c>
    </row>
    <row r="13" spans="1:17" x14ac:dyDescent="0.45">
      <c r="B13" s="5">
        <v>3</v>
      </c>
      <c r="C13" s="5" t="s">
        <v>6</v>
      </c>
      <c r="D13" s="5">
        <v>185</v>
      </c>
      <c r="E13">
        <f t="shared" si="0"/>
        <v>121</v>
      </c>
      <c r="G13" s="26" t="s">
        <v>13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1:17" x14ac:dyDescent="0.45">
      <c r="B14" s="5">
        <v>4</v>
      </c>
      <c r="C14" s="5" t="s">
        <v>7</v>
      </c>
      <c r="D14" s="5">
        <v>173</v>
      </c>
      <c r="E14">
        <f t="shared" si="0"/>
        <v>1</v>
      </c>
      <c r="G14" s="27" t="s">
        <v>14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</row>
    <row r="15" spans="1:17" x14ac:dyDescent="0.45">
      <c r="B15" s="5">
        <v>5</v>
      </c>
      <c r="C15" s="5" t="s">
        <v>8</v>
      </c>
      <c r="D15" s="5">
        <v>171</v>
      </c>
      <c r="E15">
        <f t="shared" si="0"/>
        <v>9</v>
      </c>
      <c r="G15" s="28" t="s">
        <v>16</v>
      </c>
      <c r="H15" s="28"/>
      <c r="I15" s="28"/>
      <c r="J15" s="28"/>
    </row>
    <row r="16" spans="1:17" x14ac:dyDescent="0.45">
      <c r="B16" s="5">
        <v>6</v>
      </c>
      <c r="C16" s="5" t="s">
        <v>9</v>
      </c>
      <c r="D16" s="5">
        <v>172</v>
      </c>
      <c r="E16">
        <f t="shared" si="0"/>
        <v>4</v>
      </c>
    </row>
    <row r="20" spans="2:12" x14ac:dyDescent="0.45">
      <c r="B20" s="22" t="s">
        <v>17</v>
      </c>
      <c r="C20" s="22"/>
      <c r="D20" s="22"/>
    </row>
    <row r="21" spans="2:12" x14ac:dyDescent="0.45">
      <c r="B21" s="22"/>
      <c r="C21" s="22"/>
      <c r="D21" s="22"/>
    </row>
    <row r="24" spans="2:12" ht="18" x14ac:dyDescent="0.55000000000000004">
      <c r="B24" s="7" t="s">
        <v>18</v>
      </c>
    </row>
    <row r="26" spans="2:12" x14ac:dyDescent="0.45">
      <c r="B26" s="24" t="s">
        <v>19</v>
      </c>
      <c r="C26" s="24"/>
      <c r="E26" s="25" t="s">
        <v>22</v>
      </c>
      <c r="F26" s="25"/>
      <c r="G26" s="25"/>
      <c r="J26" s="25" t="s">
        <v>25</v>
      </c>
      <c r="K26" s="25"/>
      <c r="L26" s="25"/>
    </row>
    <row r="30" spans="2:12" x14ac:dyDescent="0.45">
      <c r="D30" s="8"/>
      <c r="E30" s="1"/>
      <c r="F30" s="1"/>
    </row>
    <row r="33" spans="2:12" x14ac:dyDescent="0.45">
      <c r="B33" s="12" t="s">
        <v>21</v>
      </c>
      <c r="C33" s="13">
        <f>1/6*(SUM(D11:D16))</f>
        <v>174</v>
      </c>
      <c r="D33" s="14" t="s">
        <v>20</v>
      </c>
      <c r="E33" s="15" t="s">
        <v>27</v>
      </c>
      <c r="F33" s="6">
        <f>(1/6)*(SUM(E11:E16))</f>
        <v>28.666666666666664</v>
      </c>
      <c r="G33" s="4" t="s">
        <v>24</v>
      </c>
      <c r="J33" s="16" t="s">
        <v>26</v>
      </c>
      <c r="K33" s="17">
        <f>(1/5)*(SUM(E11:E16))</f>
        <v>34.4</v>
      </c>
      <c r="L33" s="16" t="s">
        <v>28</v>
      </c>
    </row>
    <row r="35" spans="2:12" ht="15.75" x14ac:dyDescent="0.5">
      <c r="B35" s="10"/>
    </row>
    <row r="38" spans="2:12" ht="18" x14ac:dyDescent="0.55000000000000004">
      <c r="B38" s="7" t="s">
        <v>11</v>
      </c>
    </row>
    <row r="40" spans="2:12" x14ac:dyDescent="0.45">
      <c r="B40" s="27" t="s">
        <v>29</v>
      </c>
      <c r="C40" s="27"/>
      <c r="D40" s="27"/>
      <c r="E40" s="27"/>
      <c r="F40" s="27"/>
      <c r="G40" s="18" t="s">
        <v>30</v>
      </c>
      <c r="H40" s="4"/>
      <c r="I40" s="6" t="s">
        <v>30</v>
      </c>
      <c r="J40" s="15">
        <v>15</v>
      </c>
    </row>
    <row r="42" spans="2:12" x14ac:dyDescent="0.45">
      <c r="B42" s="27" t="s">
        <v>31</v>
      </c>
      <c r="C42" s="27"/>
      <c r="D42" s="27"/>
      <c r="E42" s="27"/>
      <c r="F42" s="27"/>
      <c r="G42" s="27"/>
      <c r="H42" s="27"/>
    </row>
    <row r="44" spans="2:12" x14ac:dyDescent="0.45">
      <c r="C44" s="30" t="s">
        <v>32</v>
      </c>
      <c r="D44" s="30"/>
    </row>
    <row r="47" spans="2:12" x14ac:dyDescent="0.45">
      <c r="C47" s="30" t="s">
        <v>33</v>
      </c>
      <c r="D47" s="30"/>
    </row>
    <row r="50" spans="2:8" x14ac:dyDescent="0.45">
      <c r="B50" s="31" t="s">
        <v>34</v>
      </c>
      <c r="C50" s="31"/>
      <c r="D50" s="31"/>
      <c r="E50" s="31"/>
      <c r="F50" s="31"/>
      <c r="G50" s="31"/>
      <c r="H50" s="31"/>
    </row>
    <row r="53" spans="2:8" x14ac:dyDescent="0.45">
      <c r="B53" s="33" t="s">
        <v>35</v>
      </c>
      <c r="C53" s="34" t="s">
        <v>36</v>
      </c>
      <c r="D53" s="35" t="s">
        <v>54</v>
      </c>
      <c r="E53" s="35"/>
      <c r="F53" s="36" t="s">
        <v>37</v>
      </c>
      <c r="G53" s="37" t="s">
        <v>38</v>
      </c>
    </row>
    <row r="54" spans="2:8" x14ac:dyDescent="0.45">
      <c r="B54" s="46">
        <v>1</v>
      </c>
      <c r="C54" s="39" t="s">
        <v>39</v>
      </c>
      <c r="D54" s="48">
        <v>168</v>
      </c>
      <c r="E54" s="48">
        <v>175</v>
      </c>
      <c r="F54" s="40">
        <f>(1/2)*(SUM(D54:E54))</f>
        <v>171.5</v>
      </c>
      <c r="G54" s="41">
        <f>(D54-F54)^2+(E54-F54)^2</f>
        <v>24.5</v>
      </c>
    </row>
    <row r="55" spans="2:8" x14ac:dyDescent="0.45">
      <c r="B55" s="46">
        <v>2</v>
      </c>
      <c r="C55" s="39" t="s">
        <v>40</v>
      </c>
      <c r="D55" s="48">
        <v>168</v>
      </c>
      <c r="E55" s="49">
        <v>185</v>
      </c>
      <c r="F55" s="40">
        <f t="shared" ref="F55:F68" si="1">(1/2)*(SUM(D55:E55))</f>
        <v>176.5</v>
      </c>
      <c r="G55" s="41">
        <f t="shared" ref="G55:G68" si="2">(D55-F55)^2+(E55-F55)^2</f>
        <v>144.5</v>
      </c>
    </row>
    <row r="56" spans="2:8" x14ac:dyDescent="0.45">
      <c r="B56" s="46">
        <v>3</v>
      </c>
      <c r="C56" s="39" t="s">
        <v>41</v>
      </c>
      <c r="D56" s="48">
        <v>168</v>
      </c>
      <c r="E56" s="49">
        <v>173</v>
      </c>
      <c r="F56" s="40">
        <f t="shared" si="1"/>
        <v>170.5</v>
      </c>
      <c r="G56" s="41">
        <f t="shared" si="2"/>
        <v>12.5</v>
      </c>
    </row>
    <row r="57" spans="2:8" x14ac:dyDescent="0.45">
      <c r="B57" s="46">
        <v>4</v>
      </c>
      <c r="C57" s="39" t="s">
        <v>42</v>
      </c>
      <c r="D57" s="48">
        <v>168</v>
      </c>
      <c r="E57" s="49">
        <v>171</v>
      </c>
      <c r="F57" s="40">
        <f t="shared" si="1"/>
        <v>169.5</v>
      </c>
      <c r="G57" s="41">
        <f t="shared" si="2"/>
        <v>4.5</v>
      </c>
    </row>
    <row r="58" spans="2:8" x14ac:dyDescent="0.45">
      <c r="B58" s="46">
        <v>5</v>
      </c>
      <c r="C58" s="39" t="s">
        <v>43</v>
      </c>
      <c r="D58" s="48">
        <v>168</v>
      </c>
      <c r="E58" s="49">
        <v>172</v>
      </c>
      <c r="F58" s="40">
        <f t="shared" si="1"/>
        <v>170</v>
      </c>
      <c r="G58" s="41">
        <f t="shared" si="2"/>
        <v>8</v>
      </c>
    </row>
    <row r="59" spans="2:8" x14ac:dyDescent="0.45">
      <c r="B59" s="46">
        <v>6</v>
      </c>
      <c r="C59" s="39" t="s">
        <v>44</v>
      </c>
      <c r="D59" s="48">
        <v>175</v>
      </c>
      <c r="E59" s="49">
        <v>185</v>
      </c>
      <c r="F59" s="40">
        <f t="shared" si="1"/>
        <v>180</v>
      </c>
      <c r="G59" s="41">
        <f t="shared" si="2"/>
        <v>50</v>
      </c>
    </row>
    <row r="60" spans="2:8" x14ac:dyDescent="0.45">
      <c r="B60" s="46">
        <v>7</v>
      </c>
      <c r="C60" s="39" t="s">
        <v>45</v>
      </c>
      <c r="D60" s="48">
        <v>175</v>
      </c>
      <c r="E60" s="49">
        <v>173</v>
      </c>
      <c r="F60" s="40">
        <f t="shared" si="1"/>
        <v>174</v>
      </c>
      <c r="G60" s="41">
        <f t="shared" si="2"/>
        <v>2</v>
      </c>
    </row>
    <row r="61" spans="2:8" x14ac:dyDescent="0.45">
      <c r="B61" s="46">
        <v>8</v>
      </c>
      <c r="C61" s="39" t="s">
        <v>46</v>
      </c>
      <c r="D61" s="48">
        <v>175</v>
      </c>
      <c r="E61" s="49">
        <v>171</v>
      </c>
      <c r="F61" s="40">
        <f t="shared" si="1"/>
        <v>173</v>
      </c>
      <c r="G61" s="41">
        <f t="shared" si="2"/>
        <v>8</v>
      </c>
    </row>
    <row r="62" spans="2:8" x14ac:dyDescent="0.45">
      <c r="B62" s="46">
        <v>9</v>
      </c>
      <c r="C62" s="39" t="s">
        <v>47</v>
      </c>
      <c r="D62" s="48">
        <v>175</v>
      </c>
      <c r="E62" s="49">
        <v>172</v>
      </c>
      <c r="F62" s="40">
        <f t="shared" si="1"/>
        <v>173.5</v>
      </c>
      <c r="G62" s="41">
        <f t="shared" si="2"/>
        <v>4.5</v>
      </c>
    </row>
    <row r="63" spans="2:8" x14ac:dyDescent="0.45">
      <c r="B63" s="46">
        <v>10</v>
      </c>
      <c r="C63" s="39" t="s">
        <v>53</v>
      </c>
      <c r="D63" s="48">
        <v>185</v>
      </c>
      <c r="E63" s="49">
        <v>173</v>
      </c>
      <c r="F63" s="40">
        <f t="shared" si="1"/>
        <v>179</v>
      </c>
      <c r="G63" s="41">
        <f t="shared" si="2"/>
        <v>72</v>
      </c>
    </row>
    <row r="64" spans="2:8" x14ac:dyDescent="0.45">
      <c r="B64" s="46">
        <v>11</v>
      </c>
      <c r="C64" s="39" t="s">
        <v>48</v>
      </c>
      <c r="D64" s="48">
        <v>185</v>
      </c>
      <c r="E64" s="49">
        <v>171</v>
      </c>
      <c r="F64" s="40">
        <f t="shared" si="1"/>
        <v>178</v>
      </c>
      <c r="G64" s="41">
        <f t="shared" si="2"/>
        <v>98</v>
      </c>
    </row>
    <row r="65" spans="2:8" x14ac:dyDescent="0.45">
      <c r="B65" s="46">
        <v>12</v>
      </c>
      <c r="C65" s="39" t="s">
        <v>49</v>
      </c>
      <c r="D65" s="48">
        <v>185</v>
      </c>
      <c r="E65" s="49">
        <v>172</v>
      </c>
      <c r="F65" s="40">
        <f t="shared" si="1"/>
        <v>178.5</v>
      </c>
      <c r="G65" s="41">
        <f t="shared" si="2"/>
        <v>84.5</v>
      </c>
    </row>
    <row r="66" spans="2:8" x14ac:dyDescent="0.45">
      <c r="B66" s="46">
        <v>13</v>
      </c>
      <c r="C66" s="39" t="s">
        <v>50</v>
      </c>
      <c r="D66" s="48">
        <v>173</v>
      </c>
      <c r="E66" s="49">
        <v>171</v>
      </c>
      <c r="F66" s="40">
        <f t="shared" si="1"/>
        <v>172</v>
      </c>
      <c r="G66" s="41">
        <f t="shared" si="2"/>
        <v>2</v>
      </c>
    </row>
    <row r="67" spans="2:8" x14ac:dyDescent="0.45">
      <c r="B67" s="46">
        <v>14</v>
      </c>
      <c r="C67" s="39" t="s">
        <v>52</v>
      </c>
      <c r="D67" s="48">
        <v>173</v>
      </c>
      <c r="E67" s="49">
        <v>172</v>
      </c>
      <c r="F67" s="40">
        <f t="shared" si="1"/>
        <v>172.5</v>
      </c>
      <c r="G67" s="41">
        <f t="shared" si="2"/>
        <v>0.5</v>
      </c>
    </row>
    <row r="68" spans="2:8" x14ac:dyDescent="0.45">
      <c r="B68" s="47">
        <v>15</v>
      </c>
      <c r="C68" s="43" t="s">
        <v>51</v>
      </c>
      <c r="D68" s="50">
        <v>171</v>
      </c>
      <c r="E68" s="51">
        <v>172</v>
      </c>
      <c r="F68" s="44">
        <f t="shared" si="1"/>
        <v>171.5</v>
      </c>
      <c r="G68" s="45">
        <f t="shared" si="2"/>
        <v>0.5</v>
      </c>
    </row>
    <row r="73" spans="2:8" x14ac:dyDescent="0.45">
      <c r="B73" s="20" t="s">
        <v>55</v>
      </c>
      <c r="C73" s="27" t="s">
        <v>56</v>
      </c>
      <c r="D73" s="27"/>
    </row>
    <row r="75" spans="2:8" x14ac:dyDescent="0.45">
      <c r="C75" t="s">
        <v>57</v>
      </c>
    </row>
    <row r="78" spans="2:8" x14ac:dyDescent="0.45">
      <c r="D78" s="52"/>
      <c r="E78" s="53"/>
      <c r="F78" s="53"/>
      <c r="G78" s="53"/>
      <c r="H78" s="54"/>
    </row>
    <row r="79" spans="2:8" x14ac:dyDescent="0.45">
      <c r="D79" s="38"/>
      <c r="E79" s="40"/>
      <c r="F79" s="40"/>
      <c r="G79" s="49">
        <f>(1/15)*(SUM(F54:F68))</f>
        <v>174</v>
      </c>
      <c r="H79" s="55" t="s">
        <v>20</v>
      </c>
    </row>
    <row r="80" spans="2:8" x14ac:dyDescent="0.45">
      <c r="D80" s="42"/>
      <c r="E80" s="44"/>
      <c r="F80" s="44"/>
      <c r="G80" s="44"/>
      <c r="H80" s="56"/>
    </row>
    <row r="82" spans="3:9" x14ac:dyDescent="0.45">
      <c r="C82" s="30" t="s">
        <v>59</v>
      </c>
      <c r="D82" s="30"/>
      <c r="E82" s="30"/>
      <c r="G82" t="s">
        <v>60</v>
      </c>
      <c r="I82" t="s">
        <v>20</v>
      </c>
    </row>
    <row r="83" spans="3:9" x14ac:dyDescent="0.45">
      <c r="C83" s="29" t="s">
        <v>58</v>
      </c>
      <c r="D83" s="29"/>
      <c r="E83" s="29"/>
      <c r="F83" s="29"/>
      <c r="G83" s="29"/>
      <c r="H83" s="29"/>
      <c r="I83" s="29"/>
    </row>
    <row r="87" spans="3:9" x14ac:dyDescent="0.45">
      <c r="C87" s="11" t="s">
        <v>63</v>
      </c>
      <c r="D87" s="11"/>
    </row>
    <row r="92" spans="3:9" x14ac:dyDescent="0.45">
      <c r="D92">
        <f>((6-2)/(6*2))*34.4</f>
        <v>11.466666666666665</v>
      </c>
      <c r="E92" t="s">
        <v>28</v>
      </c>
    </row>
    <row r="98" spans="2:9" x14ac:dyDescent="0.45">
      <c r="B98" s="20" t="s">
        <v>61</v>
      </c>
      <c r="C98" s="27" t="s">
        <v>56</v>
      </c>
      <c r="D98" s="27"/>
    </row>
    <row r="100" spans="2:9" x14ac:dyDescent="0.45">
      <c r="C100" t="s">
        <v>62</v>
      </c>
    </row>
    <row r="107" spans="2:9" x14ac:dyDescent="0.45">
      <c r="E107" s="9">
        <f>(1/15)*SUM(G54:G68)</f>
        <v>34.4</v>
      </c>
      <c r="F107" t="s">
        <v>28</v>
      </c>
    </row>
    <row r="111" spans="2:9" x14ac:dyDescent="0.45">
      <c r="C111" t="s">
        <v>64</v>
      </c>
    </row>
    <row r="112" spans="2:9" x14ac:dyDescent="0.45">
      <c r="C112" s="32" t="s">
        <v>65</v>
      </c>
      <c r="D112" s="32"/>
      <c r="E112" s="32"/>
      <c r="F112" s="32"/>
      <c r="G112" s="32"/>
      <c r="H112" s="32"/>
      <c r="I112" s="32"/>
    </row>
    <row r="116" spans="2:5" x14ac:dyDescent="0.45">
      <c r="B116" s="20" t="s">
        <v>66</v>
      </c>
    </row>
    <row r="117" spans="2:5" x14ac:dyDescent="0.45">
      <c r="C117" s="26" t="s">
        <v>68</v>
      </c>
      <c r="D117" s="26"/>
      <c r="E117" s="26"/>
    </row>
    <row r="119" spans="2:5" x14ac:dyDescent="0.45">
      <c r="C119" s="27" t="s">
        <v>67</v>
      </c>
      <c r="D119" s="27"/>
      <c r="E119" s="27"/>
    </row>
    <row r="122" spans="2:5" x14ac:dyDescent="0.45">
      <c r="C122" t="s">
        <v>69</v>
      </c>
    </row>
    <row r="131" spans="3:7" x14ac:dyDescent="0.45">
      <c r="C131" s="19" t="s">
        <v>71</v>
      </c>
      <c r="D131" s="32"/>
      <c r="E131" s="32"/>
      <c r="F131" s="32"/>
      <c r="G131" s="19" t="s">
        <v>70</v>
      </c>
    </row>
  </sheetData>
  <mergeCells count="24">
    <mergeCell ref="C98:D98"/>
    <mergeCell ref="C112:I112"/>
    <mergeCell ref="C117:E117"/>
    <mergeCell ref="C119:E119"/>
    <mergeCell ref="D131:F131"/>
    <mergeCell ref="D53:E53"/>
    <mergeCell ref="C73:D73"/>
    <mergeCell ref="C83:I83"/>
    <mergeCell ref="C82:E82"/>
    <mergeCell ref="B40:F40"/>
    <mergeCell ref="B42:H42"/>
    <mergeCell ref="C44:D44"/>
    <mergeCell ref="C47:D47"/>
    <mergeCell ref="B50:H50"/>
    <mergeCell ref="G11:M11"/>
    <mergeCell ref="B20:D21"/>
    <mergeCell ref="B1:E2"/>
    <mergeCell ref="G10:Q10"/>
    <mergeCell ref="B26:C26"/>
    <mergeCell ref="E26:G26"/>
    <mergeCell ref="J26:L26"/>
    <mergeCell ref="G13:Q13"/>
    <mergeCell ref="G14:Q14"/>
    <mergeCell ref="G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Rezaul Islam</dc:creator>
  <cp:lastModifiedBy>Fahim Sabir</cp:lastModifiedBy>
  <dcterms:created xsi:type="dcterms:W3CDTF">2015-06-05T18:17:20Z</dcterms:created>
  <dcterms:modified xsi:type="dcterms:W3CDTF">2026-04-29T04:27:11Z</dcterms:modified>
</cp:coreProperties>
</file>