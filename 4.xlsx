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actical 3.1\"/>
    </mc:Choice>
  </mc:AlternateContent>
  <xr:revisionPtr revIDLastSave="0" documentId="13_ncr:1_{2BA42E85-9457-4318-BB4C-D2805A1DBB94}" xr6:coauthVersionLast="47" xr6:coauthVersionMax="47" xr10:uidLastSave="{00000000-0000-0000-0000-000000000000}"/>
  <bookViews>
    <workbookView xWindow="-110" yWindow="-110" windowWidth="19420" windowHeight="10300" xr2:uid="{79F7CAC8-3DA9-438D-B7B7-19A682F25D7E}"/>
  </bookViews>
  <sheets>
    <sheet name="Sheet4" sheetId="4" r:id="rId1"/>
  </sheets>
  <definedNames>
    <definedName name="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3" i="4" l="1"/>
  <c r="N62" i="4"/>
  <c r="N61" i="4"/>
  <c r="M57" i="4"/>
  <c r="P51" i="4"/>
  <c r="P50" i="4"/>
  <c r="P49" i="4"/>
  <c r="P48" i="4"/>
  <c r="M49" i="4"/>
  <c r="P44" i="4"/>
  <c r="P38" i="4"/>
  <c r="P43" i="4"/>
  <c r="P42" i="4"/>
  <c r="P41" i="4"/>
  <c r="M42" i="4"/>
  <c r="P36" i="4"/>
  <c r="P37" i="4"/>
  <c r="P35" i="4"/>
  <c r="M32" i="4"/>
  <c r="L32" i="4"/>
  <c r="K32" i="4"/>
  <c r="J32" i="4"/>
  <c r="L30" i="4"/>
  <c r="K30" i="4"/>
  <c r="J30" i="4"/>
  <c r="L28" i="4"/>
  <c r="K28" i="4"/>
  <c r="J28" i="4"/>
  <c r="L26" i="4"/>
  <c r="K26" i="4"/>
  <c r="J26" i="4"/>
  <c r="H20" i="4"/>
  <c r="G20" i="4"/>
</calcChain>
</file>

<file path=xl/sharedStrings.xml><?xml version="1.0" encoding="utf-8"?>
<sst xmlns="http://schemas.openxmlformats.org/spreadsheetml/2006/main" count="50" uniqueCount="42">
  <si>
    <t>a) Compute the overall population mean and population mean square</t>
  </si>
  <si>
    <t xml:space="preserve">  ii) Propotional Allocation</t>
  </si>
  <si>
    <t xml:space="preserve">   i) equal allocation</t>
  </si>
  <si>
    <t xml:space="preserve">  ii) Neyman allocation </t>
  </si>
  <si>
    <t xml:space="preserve">work out the relative efficiency of stratified sample mean based on each of the avobe mentioned </t>
  </si>
  <si>
    <t xml:space="preserve"> allocation with respect to the SRS mean for the sam esample size. Assume that the sampling is WOR</t>
  </si>
  <si>
    <t>N1</t>
  </si>
  <si>
    <t>N2</t>
  </si>
  <si>
    <t>Stratum 1</t>
  </si>
  <si>
    <t>Stratum 2</t>
  </si>
  <si>
    <t>Stratum 3</t>
  </si>
  <si>
    <t>b)Calculate a stratified sample of size 15 by using</t>
  </si>
  <si>
    <t>&gt;1</t>
  </si>
  <si>
    <t>Y.bar</t>
  </si>
  <si>
    <t>S^2</t>
  </si>
  <si>
    <t>N3</t>
  </si>
  <si>
    <t>W1</t>
  </si>
  <si>
    <t>W2</t>
  </si>
  <si>
    <t>W3</t>
  </si>
  <si>
    <t>S1^2</t>
  </si>
  <si>
    <t>S2^2</t>
  </si>
  <si>
    <t>S3^2</t>
  </si>
  <si>
    <t xml:space="preserve">S2 </t>
  </si>
  <si>
    <t xml:space="preserve">S3 </t>
  </si>
  <si>
    <t>N1*S1</t>
  </si>
  <si>
    <t>N2*S2</t>
  </si>
  <si>
    <t>N3*S3</t>
  </si>
  <si>
    <t>equal</t>
  </si>
  <si>
    <t>n1</t>
  </si>
  <si>
    <t>n2</t>
  </si>
  <si>
    <t>n3</t>
  </si>
  <si>
    <t>Veq</t>
  </si>
  <si>
    <t>Vprop</t>
  </si>
  <si>
    <t>Neyman</t>
  </si>
  <si>
    <t>Vney</t>
  </si>
  <si>
    <t>Vsrs</t>
  </si>
  <si>
    <t>RE(eq vs srs)</t>
  </si>
  <si>
    <t>RE(prop vs srs)</t>
  </si>
  <si>
    <t>RE(ney vs srs)</t>
  </si>
  <si>
    <t>Total=sum(Nh*Sh)</t>
  </si>
  <si>
    <t>prop</t>
  </si>
  <si>
    <t xml:space="preserve">S1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</si>
</sst>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</xdr:row>
      <xdr:rowOff>0</xdr:rowOff>
    </xdr:from>
    <xdr:to>
      <xdr:col>33</xdr:col>
      <xdr:colOff>152400</xdr:colOff>
      <xdr:row>28</xdr:row>
      <xdr:rowOff>158438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F389D-9FC6-236C-8B33-50E94A061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6550" y="2578100"/>
          <a:ext cx="8077200" cy="2736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63E9-ED8F-4B74-BB9E-D7DE56F1238F}">
  <dimension ref="B2:AD151"/>
  <sheetViews>
    <sheetView tabSelected="1" zoomScale="82" workbookViewId="0">
      <selection activeCell="P67" sqref="P67"/>
    </sheetView>
  </sheetViews>
  <sheetFormatPr defaultRowHeight="14.5" x14ac:dyDescent="0.35"/>
  <cols>
    <col min="7" max="7" width="14.54296875" customWidth="1"/>
    <col min="13" max="13" width="17.453125" customWidth="1"/>
  </cols>
  <sheetData>
    <row r="2" spans="2:30" x14ac:dyDescent="0.35">
      <c r="B2" s="2" t="s">
        <v>8</v>
      </c>
      <c r="C2" s="2" t="s">
        <v>9</v>
      </c>
      <c r="D2" s="2" t="s">
        <v>10</v>
      </c>
    </row>
    <row r="3" spans="2:30" x14ac:dyDescent="0.35">
      <c r="B3" s="1">
        <v>78</v>
      </c>
      <c r="C3" s="1">
        <v>40</v>
      </c>
      <c r="D3" s="1">
        <v>30</v>
      </c>
    </row>
    <row r="4" spans="2:30" x14ac:dyDescent="0.35">
      <c r="B4" s="1">
        <v>87</v>
      </c>
      <c r="C4" s="1">
        <v>46</v>
      </c>
      <c r="D4" s="1">
        <v>28</v>
      </c>
    </row>
    <row r="5" spans="2:30" x14ac:dyDescent="0.35">
      <c r="B5" s="1">
        <v>71</v>
      </c>
      <c r="C5" s="1">
        <v>42</v>
      </c>
      <c r="D5" s="1">
        <v>29</v>
      </c>
    </row>
    <row r="6" spans="2:30" x14ac:dyDescent="0.35">
      <c r="B6" s="1">
        <v>88</v>
      </c>
      <c r="C6" s="1">
        <v>58</v>
      </c>
      <c r="D6" s="1">
        <v>24</v>
      </c>
    </row>
    <row r="7" spans="2:30" x14ac:dyDescent="0.35">
      <c r="B7" s="1">
        <v>76</v>
      </c>
      <c r="C7" s="1">
        <v>60</v>
      </c>
      <c r="D7" s="1">
        <v>26</v>
      </c>
      <c r="F7" s="4" t="s">
        <v>0</v>
      </c>
      <c r="G7" s="4"/>
      <c r="H7" s="4"/>
      <c r="I7" s="4"/>
      <c r="J7" s="4"/>
      <c r="K7" s="4"/>
      <c r="L7" s="4"/>
    </row>
    <row r="8" spans="2:30" x14ac:dyDescent="0.35">
      <c r="B8" s="1">
        <v>99</v>
      </c>
      <c r="C8" s="1">
        <v>55</v>
      </c>
      <c r="D8" s="1">
        <v>21</v>
      </c>
      <c r="F8" s="4" t="s">
        <v>11</v>
      </c>
      <c r="G8" s="4"/>
      <c r="H8" s="4"/>
      <c r="I8" s="4"/>
      <c r="J8" s="4"/>
      <c r="K8" s="4"/>
    </row>
    <row r="9" spans="2:30" x14ac:dyDescent="0.35">
      <c r="B9" s="1">
        <v>98</v>
      </c>
      <c r="C9" s="1">
        <v>49</v>
      </c>
      <c r="D9" s="1">
        <v>34</v>
      </c>
      <c r="F9" s="4" t="s">
        <v>2</v>
      </c>
      <c r="G9" s="4"/>
    </row>
    <row r="10" spans="2:30" x14ac:dyDescent="0.35">
      <c r="B10" s="1">
        <v>86</v>
      </c>
      <c r="C10" s="1">
        <v>54</v>
      </c>
      <c r="D10" s="1">
        <v>28</v>
      </c>
      <c r="F10" s="4" t="s">
        <v>1</v>
      </c>
      <c r="G10" s="4"/>
    </row>
    <row r="11" spans="2:30" x14ac:dyDescent="0.35">
      <c r="B11" s="1">
        <v>75</v>
      </c>
      <c r="C11" s="1">
        <v>61</v>
      </c>
      <c r="D11" s="1">
        <v>36</v>
      </c>
      <c r="F11" s="4" t="s">
        <v>3</v>
      </c>
      <c r="G11" s="4"/>
    </row>
    <row r="12" spans="2:30" x14ac:dyDescent="0.35">
      <c r="B12" s="1">
        <v>92</v>
      </c>
      <c r="C12" s="1">
        <v>48</v>
      </c>
      <c r="D12" s="1">
        <v>27</v>
      </c>
    </row>
    <row r="13" spans="2:30" x14ac:dyDescent="0.35">
      <c r="B13" s="1"/>
      <c r="C13" s="1">
        <v>58</v>
      </c>
      <c r="D13" s="1">
        <v>26</v>
      </c>
      <c r="F13" s="4" t="s">
        <v>4</v>
      </c>
      <c r="G13" s="4"/>
      <c r="H13" s="4"/>
      <c r="I13" s="4"/>
      <c r="J13" s="4"/>
      <c r="K13" s="4"/>
      <c r="L13" s="4"/>
      <c r="M13" s="4"/>
      <c r="N13" s="4"/>
    </row>
    <row r="14" spans="2:30" x14ac:dyDescent="0.35">
      <c r="B14" s="1"/>
      <c r="C14" s="1">
        <v>44</v>
      </c>
      <c r="D14" s="1">
        <v>32</v>
      </c>
      <c r="F14" s="4" t="s">
        <v>5</v>
      </c>
      <c r="G14" s="4"/>
      <c r="H14" s="4"/>
      <c r="I14" s="4"/>
      <c r="J14" s="4"/>
      <c r="K14" s="4"/>
      <c r="L14" s="4"/>
      <c r="M14" s="4"/>
      <c r="N14" s="4"/>
    </row>
    <row r="15" spans="2:30" x14ac:dyDescent="0.35">
      <c r="B15" s="1"/>
      <c r="C15" s="1">
        <v>52</v>
      </c>
      <c r="D15" s="1">
        <v>24</v>
      </c>
    </row>
    <row r="16" spans="2:30" x14ac:dyDescent="0.35">
      <c r="B16" s="1"/>
      <c r="C16" s="1">
        <v>54</v>
      </c>
      <c r="D16" s="1">
        <v>25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2:30" x14ac:dyDescent="0.35">
      <c r="B17" s="1"/>
      <c r="C17" s="1">
        <v>46</v>
      </c>
      <c r="D17" s="1">
        <v>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2:30" x14ac:dyDescent="0.35">
      <c r="B18" s="1"/>
      <c r="C18" s="1">
        <v>57</v>
      </c>
      <c r="D18" s="1">
        <v>23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2:30" x14ac:dyDescent="0.35">
      <c r="B19" s="1"/>
      <c r="C19" s="1">
        <v>50</v>
      </c>
      <c r="F19" s="1"/>
      <c r="G19" s="3" t="s">
        <v>13</v>
      </c>
      <c r="H19" s="3" t="s"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2:30" x14ac:dyDescent="0.35">
      <c r="B20" s="1"/>
      <c r="C20" s="1">
        <v>48</v>
      </c>
      <c r="F20" s="1"/>
      <c r="G20" s="1">
        <f>AVERAGE(B3:D26)</f>
        <v>49.78</v>
      </c>
      <c r="H20" s="1">
        <f>_xlfn.VAR.S(B3:D26)</f>
        <v>453.68530612244899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 x14ac:dyDescent="0.35">
      <c r="B21" s="1"/>
      <c r="C21" s="1">
        <v>44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x14ac:dyDescent="0.35">
      <c r="B22" s="1"/>
      <c r="C22" s="1">
        <v>50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x14ac:dyDescent="0.35">
      <c r="B23" s="1"/>
      <c r="C23" s="1">
        <v>47</v>
      </c>
      <c r="F23" s="1"/>
      <c r="G23" s="1"/>
      <c r="H23" s="1"/>
      <c r="I23" s="1"/>
      <c r="J23" s="3" t="s">
        <v>6</v>
      </c>
      <c r="K23" s="3" t="s">
        <v>7</v>
      </c>
      <c r="L23" s="3" t="s">
        <v>15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35">
      <c r="B24" s="1"/>
      <c r="C24" s="1">
        <v>50</v>
      </c>
      <c r="F24" s="1"/>
      <c r="G24" s="1"/>
      <c r="H24" s="1"/>
      <c r="I24" s="1"/>
      <c r="J24" s="1">
        <v>10</v>
      </c>
      <c r="K24" s="1">
        <v>24</v>
      </c>
      <c r="L24" s="1">
        <v>16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x14ac:dyDescent="0.35">
      <c r="B25" s="1"/>
      <c r="C25" s="1">
        <v>41</v>
      </c>
      <c r="F25" s="1"/>
      <c r="G25" s="1"/>
      <c r="H25" s="1"/>
      <c r="I25" s="1"/>
      <c r="J25" s="3" t="s">
        <v>16</v>
      </c>
      <c r="K25" s="3" t="s">
        <v>17</v>
      </c>
      <c r="L25" s="3" t="s">
        <v>18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x14ac:dyDescent="0.35">
      <c r="B26" s="1"/>
      <c r="C26" s="1">
        <v>43</v>
      </c>
      <c r="F26" s="1"/>
      <c r="G26" s="1"/>
      <c r="H26" s="1"/>
      <c r="I26" s="1"/>
      <c r="J26" s="1">
        <f>J24/50</f>
        <v>0.2</v>
      </c>
      <c r="K26" s="1">
        <f>K24/50</f>
        <v>0.48</v>
      </c>
      <c r="L26" s="1">
        <f>L24/50</f>
        <v>0.32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x14ac:dyDescent="0.35">
      <c r="F27" s="1"/>
      <c r="G27" s="1"/>
      <c r="H27" s="1"/>
      <c r="I27" s="1"/>
      <c r="J27" s="3" t="s">
        <v>19</v>
      </c>
      <c r="K27" s="3" t="s">
        <v>20</v>
      </c>
      <c r="L27" s="3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x14ac:dyDescent="0.35">
      <c r="F28" s="1"/>
      <c r="G28" s="1"/>
      <c r="H28" s="1"/>
      <c r="I28" s="1"/>
      <c r="J28" s="1">
        <f>_xlfn.VAR.S(B3:B12)</f>
        <v>94.888888888888886</v>
      </c>
      <c r="K28" s="1">
        <f>_xlfn.VAR.S(C3:C26)</f>
        <v>38.027173913043477</v>
      </c>
      <c r="L28" s="1">
        <f>_xlfn.VAR.S(D3:D18)</f>
        <v>16.25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x14ac:dyDescent="0.35">
      <c r="F29" s="1"/>
      <c r="G29" s="1"/>
      <c r="H29" s="1"/>
      <c r="I29" s="1"/>
      <c r="J29" s="3" t="s">
        <v>41</v>
      </c>
      <c r="K29" s="3" t="s">
        <v>22</v>
      </c>
      <c r="L29" s="3" t="s">
        <v>23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2:30" x14ac:dyDescent="0.35">
      <c r="F30" s="1"/>
      <c r="G30" s="1"/>
      <c r="H30" s="1"/>
      <c r="I30" s="1"/>
      <c r="J30" s="1">
        <f>SQRT(J28)</f>
        <v>9.7410927974683048</v>
      </c>
      <c r="K30" s="1">
        <f>SQRT(K28)</f>
        <v>6.1666177044668071</v>
      </c>
      <c r="L30" s="1">
        <f>SQRT(L28)</f>
        <v>4.0311288741492746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2:30" x14ac:dyDescent="0.35">
      <c r="F31" s="1"/>
      <c r="G31" s="1"/>
      <c r="H31" s="1"/>
      <c r="I31" s="1"/>
      <c r="J31" s="3" t="s">
        <v>24</v>
      </c>
      <c r="K31" s="3" t="s">
        <v>25</v>
      </c>
      <c r="L31" s="3" t="s">
        <v>26</v>
      </c>
      <c r="M31" s="3" t="s">
        <v>39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2:30" x14ac:dyDescent="0.35">
      <c r="F32" s="1"/>
      <c r="G32" s="1"/>
      <c r="H32" s="1"/>
      <c r="I32" s="1"/>
      <c r="J32" s="1">
        <f>J24*J30</f>
        <v>97.410927974683048</v>
      </c>
      <c r="K32" s="1">
        <f>K24*K30</f>
        <v>147.99882490720336</v>
      </c>
      <c r="L32" s="1">
        <f>L24*L30</f>
        <v>64.498061986388393</v>
      </c>
      <c r="M32" s="1">
        <f>SUM(J32:L32)</f>
        <v>309.90781486827478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6:30" x14ac:dyDescent="0.35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6:30" x14ac:dyDescent="0.35">
      <c r="F34" s="1"/>
      <c r="G34" s="1"/>
      <c r="H34" s="1"/>
      <c r="I34" s="1"/>
      <c r="J34" s="1"/>
      <c r="K34" s="1"/>
      <c r="L34" s="1"/>
      <c r="M34" s="1"/>
      <c r="N34" s="1"/>
      <c r="O34" s="3" t="s">
        <v>27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6:30" x14ac:dyDescent="0.35">
      <c r="F35" s="1"/>
      <c r="G35" s="1"/>
      <c r="H35" s="1"/>
      <c r="I35" s="1"/>
      <c r="J35" s="1"/>
      <c r="K35" s="1"/>
      <c r="L35" s="1"/>
      <c r="M35" s="1"/>
      <c r="N35" s="1"/>
      <c r="O35" s="1" t="s">
        <v>28</v>
      </c>
      <c r="P35" s="1">
        <f>15/3</f>
        <v>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6:30" x14ac:dyDescent="0.35"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>
        <f t="shared" ref="P36:P37" si="0">15/3</f>
        <v>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6:30" x14ac:dyDescent="0.35">
      <c r="F37" s="1"/>
      <c r="G37" s="1"/>
      <c r="H37" s="1"/>
      <c r="I37" s="1"/>
      <c r="J37" s="1"/>
      <c r="K37" s="1"/>
      <c r="L37" s="1"/>
      <c r="M37" s="1"/>
      <c r="N37" s="1"/>
      <c r="O37" s="1" t="s">
        <v>30</v>
      </c>
      <c r="P37" s="1">
        <f t="shared" si="0"/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6:30" x14ac:dyDescent="0.35">
      <c r="F38" s="1"/>
      <c r="G38" s="1"/>
      <c r="H38" s="1"/>
      <c r="I38" s="1"/>
      <c r="J38" s="1"/>
      <c r="K38" s="1"/>
      <c r="L38" s="1"/>
      <c r="M38" s="1"/>
      <c r="N38" s="1"/>
      <c r="O38" s="1" t="s">
        <v>31</v>
      </c>
      <c r="P38" s="1">
        <f>(((J24-P35)/(J24*P35))*J28*J26^2)+(((K24-P36)/(K24*P36))*K28*K26^2)+(((L24-P37)/(L24*P37))*L28*L26^2)</f>
        <v>1.9955868599033817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6:30" x14ac:dyDescent="0.3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6:30" x14ac:dyDescent="0.35">
      <c r="F40" s="1"/>
      <c r="G40" s="1"/>
      <c r="H40" s="1"/>
      <c r="I40" s="1"/>
      <c r="J40" s="1"/>
      <c r="K40" s="1"/>
      <c r="L40" s="1"/>
      <c r="M40" s="1"/>
      <c r="N40" s="1"/>
      <c r="O40" s="3" t="s">
        <v>40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6:30" x14ac:dyDescent="0.35">
      <c r="F41" s="1"/>
      <c r="G41" s="1"/>
      <c r="H41" s="1"/>
      <c r="I41" s="1"/>
      <c r="J41" s="1"/>
      <c r="K41" s="1"/>
      <c r="L41" s="1"/>
      <c r="M41" s="1"/>
      <c r="N41" s="1"/>
      <c r="O41" s="1" t="s">
        <v>28</v>
      </c>
      <c r="P41" s="1">
        <f>M42*J24</f>
        <v>3</v>
      </c>
      <c r="Q41" s="1">
        <v>3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6:30" x14ac:dyDescent="0.35">
      <c r="F42" s="1"/>
      <c r="G42" s="1"/>
      <c r="H42" s="1"/>
      <c r="I42" s="1"/>
      <c r="J42" s="1"/>
      <c r="K42" s="1"/>
      <c r="L42" s="1"/>
      <c r="M42" s="1">
        <f>15/50</f>
        <v>0.3</v>
      </c>
      <c r="N42" s="1"/>
      <c r="O42" s="1" t="s">
        <v>29</v>
      </c>
      <c r="P42" s="1">
        <f>M42*K24</f>
        <v>7.1999999999999993</v>
      </c>
      <c r="Q42" s="1">
        <v>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6:30" x14ac:dyDescent="0.35">
      <c r="F43" s="1"/>
      <c r="G43" s="1"/>
      <c r="H43" s="1"/>
      <c r="I43" s="1"/>
      <c r="J43" s="1"/>
      <c r="K43" s="1"/>
      <c r="L43" s="1"/>
      <c r="M43" s="1"/>
      <c r="N43" s="1"/>
      <c r="O43" s="1" t="s">
        <v>30</v>
      </c>
      <c r="P43" s="1">
        <f>M42*L24</f>
        <v>4.8</v>
      </c>
      <c r="Q43" s="1">
        <v>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6:30" x14ac:dyDescent="0.35">
      <c r="F44" s="1"/>
      <c r="G44" s="1"/>
      <c r="H44" s="1"/>
      <c r="I44" s="1"/>
      <c r="J44" s="1"/>
      <c r="K44" s="1"/>
      <c r="L44" s="1"/>
      <c r="M44" s="1"/>
      <c r="N44" s="1"/>
      <c r="O44" s="1" t="s">
        <v>32</v>
      </c>
      <c r="P44" s="1">
        <f>(((J24-P41)/(J24*P41))*J28*J26^2)+(((K24-Q42)/(K24*Q42))*K28*K26^2)+(((L24-Q43)/(L24*Q43))*L28*L26^2)</f>
        <v>2.0010060271451575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6:30" x14ac:dyDescent="0.3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6:30" x14ac:dyDescent="0.3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6:30" x14ac:dyDescent="0.35">
      <c r="F47" s="1"/>
      <c r="G47" s="1"/>
      <c r="H47" s="1"/>
      <c r="I47" s="1"/>
      <c r="J47" s="1"/>
      <c r="K47" s="1"/>
      <c r="L47" s="1"/>
      <c r="M47" s="1"/>
      <c r="N47" s="1"/>
      <c r="O47" s="3" t="s">
        <v>33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6:30" x14ac:dyDescent="0.35">
      <c r="F48" s="1"/>
      <c r="G48" s="1"/>
      <c r="H48" s="1"/>
      <c r="I48" s="1"/>
      <c r="J48" s="1"/>
      <c r="K48" s="1"/>
      <c r="L48" s="1"/>
      <c r="M48" s="1"/>
      <c r="N48" s="1"/>
      <c r="O48" s="1" t="s">
        <v>28</v>
      </c>
      <c r="P48" s="1">
        <f>M49*J24*J30</f>
        <v>4.7148340555442543</v>
      </c>
      <c r="Q48" s="1">
        <v>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6:30" x14ac:dyDescent="0.35">
      <c r="F49" s="1"/>
      <c r="G49" s="1"/>
      <c r="H49" s="1"/>
      <c r="I49" s="1"/>
      <c r="J49" s="1"/>
      <c r="K49" s="1"/>
      <c r="L49" s="1"/>
      <c r="M49" s="1">
        <f>15/M32</f>
        <v>4.840148999267959E-2</v>
      </c>
      <c r="N49" s="1"/>
      <c r="O49" s="1" t="s">
        <v>29</v>
      </c>
      <c r="P49" s="1">
        <f>M49*K24*K30</f>
        <v>7.1633636426743426</v>
      </c>
      <c r="Q49" s="1">
        <v>7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6:30" x14ac:dyDescent="0.35">
      <c r="F50" s="1"/>
      <c r="G50" s="1"/>
      <c r="H50" s="1"/>
      <c r="I50" s="1"/>
      <c r="J50" s="1"/>
      <c r="K50" s="1"/>
      <c r="L50" s="1"/>
      <c r="M50" s="1"/>
      <c r="N50" s="1"/>
      <c r="O50" s="1" t="s">
        <v>30</v>
      </c>
      <c r="P50" s="1">
        <f>M49*L24*L30</f>
        <v>3.1218023017814058</v>
      </c>
      <c r="Q50" s="1">
        <v>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6:30" x14ac:dyDescent="0.35">
      <c r="F51" s="1"/>
      <c r="G51" s="1"/>
      <c r="H51" s="1"/>
      <c r="I51" s="1"/>
      <c r="J51" s="1"/>
      <c r="K51" s="1"/>
      <c r="L51" s="1"/>
      <c r="M51" s="1"/>
      <c r="N51" s="1"/>
      <c r="O51" s="1" t="s">
        <v>34</v>
      </c>
      <c r="P51" s="1">
        <f>(((J24-Q48)/(J24*Q48))*J28*J26^2)+(((K24-Q49)/(K24*Q49))*K28*K26^2)+(((L24-Q50)/(L24*Q50))*L28*L26^2)</f>
        <v>1.7167986197377501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6:30" x14ac:dyDescent="0.35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6:30" x14ac:dyDescent="0.35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6:30" x14ac:dyDescent="0.3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6:30" x14ac:dyDescent="0.3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6:30" x14ac:dyDescent="0.35">
      <c r="F56" s="1"/>
      <c r="G56" s="1"/>
      <c r="H56" s="1"/>
      <c r="I56" s="1"/>
      <c r="J56" s="1"/>
      <c r="K56" s="1"/>
      <c r="L56" s="1"/>
      <c r="M56" s="1" t="s">
        <v>35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6:30" x14ac:dyDescent="0.35">
      <c r="F57" s="1"/>
      <c r="G57" s="1"/>
      <c r="H57" s="1"/>
      <c r="I57" s="1"/>
      <c r="J57" s="1"/>
      <c r="K57" s="1"/>
      <c r="L57" s="1"/>
      <c r="M57" s="1">
        <f>((50-15)/(50*15))*H20</f>
        <v>21.171980952380952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6:30" x14ac:dyDescent="0.3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6:30" x14ac:dyDescent="0.35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6:30" x14ac:dyDescent="0.35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6:30" x14ac:dyDescent="0.35">
      <c r="F61" s="1"/>
      <c r="G61" s="1"/>
      <c r="H61" s="1"/>
      <c r="I61" s="1"/>
      <c r="J61" s="1"/>
      <c r="K61" s="1"/>
      <c r="L61" s="1"/>
      <c r="M61" s="1" t="s">
        <v>36</v>
      </c>
      <c r="N61" s="1">
        <f>M57/P38</f>
        <v>10.609400862363874</v>
      </c>
      <c r="O61" s="1" t="s">
        <v>12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6:30" x14ac:dyDescent="0.35">
      <c r="F62" s="1"/>
      <c r="G62" s="1"/>
      <c r="H62" s="1"/>
      <c r="I62" s="1"/>
      <c r="J62" s="1"/>
      <c r="K62" s="1"/>
      <c r="L62" s="1"/>
      <c r="M62" s="1" t="s">
        <v>37</v>
      </c>
      <c r="N62" s="1">
        <f>M57/P44</f>
        <v>10.580668256450528</v>
      </c>
      <c r="O62" s="1" t="s">
        <v>12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6:30" x14ac:dyDescent="0.35">
      <c r="F63" s="1"/>
      <c r="G63" s="1"/>
      <c r="H63" s="1"/>
      <c r="I63" s="1"/>
      <c r="J63" s="1"/>
      <c r="K63" s="1"/>
      <c r="L63" s="1"/>
      <c r="M63" s="1" t="s">
        <v>38</v>
      </c>
      <c r="N63" s="1">
        <f>M57/P51</f>
        <v>12.332244859105888</v>
      </c>
      <c r="O63" s="1" t="s">
        <v>12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6:30" x14ac:dyDescent="0.35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6:30" x14ac:dyDescent="0.35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6:30" x14ac:dyDescent="0.35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6:30" x14ac:dyDescent="0.35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6:30" x14ac:dyDescent="0.35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6:30" x14ac:dyDescent="0.3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6:30" x14ac:dyDescent="0.3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6:30" x14ac:dyDescent="0.35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6:30" x14ac:dyDescent="0.35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6:30" x14ac:dyDescent="0.35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6:30" x14ac:dyDescent="0.35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6:30" x14ac:dyDescent="0.35"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6:30" x14ac:dyDescent="0.35"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6:30" x14ac:dyDescent="0.35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6:30" x14ac:dyDescent="0.35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6:30" x14ac:dyDescent="0.35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6:30" x14ac:dyDescent="0.35"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6:30" x14ac:dyDescent="0.3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6:30" x14ac:dyDescent="0.35"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6:30" x14ac:dyDescent="0.35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6:30" x14ac:dyDescent="0.35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6:30" x14ac:dyDescent="0.35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6:30" x14ac:dyDescent="0.35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6:30" x14ac:dyDescent="0.35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6:30" x14ac:dyDescent="0.35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6:30" x14ac:dyDescent="0.35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6:30" x14ac:dyDescent="0.35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6:30" x14ac:dyDescent="0.35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6:30" x14ac:dyDescent="0.35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6:30" x14ac:dyDescent="0.3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6:30" x14ac:dyDescent="0.35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6:30" x14ac:dyDescent="0.35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6:30" x14ac:dyDescent="0.35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6:30" x14ac:dyDescent="0.35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6:30" x14ac:dyDescent="0.35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6:30" x14ac:dyDescent="0.35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6:30" x14ac:dyDescent="0.35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6:30" x14ac:dyDescent="0.35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6:30" x14ac:dyDescent="0.35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6:30" x14ac:dyDescent="0.35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6:30" x14ac:dyDescent="0.35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6:30" x14ac:dyDescent="0.35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6:30" x14ac:dyDescent="0.35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6:30" x14ac:dyDescent="0.35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6:30" x14ac:dyDescent="0.35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6:30" x14ac:dyDescent="0.35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6:30" x14ac:dyDescent="0.35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6:30" x14ac:dyDescent="0.35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6:30" x14ac:dyDescent="0.35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6:30" x14ac:dyDescent="0.35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6:30" x14ac:dyDescent="0.35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6:30" x14ac:dyDescent="0.35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6:30" x14ac:dyDescent="0.35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6:30" x14ac:dyDescent="0.35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6:30" x14ac:dyDescent="0.35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6:30" x14ac:dyDescent="0.35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6:30" x14ac:dyDescent="0.35"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6:30" x14ac:dyDescent="0.35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6:30" x14ac:dyDescent="0.35"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6:30" x14ac:dyDescent="0.35"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6:30" x14ac:dyDescent="0.35"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6:30" x14ac:dyDescent="0.35"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6:30" x14ac:dyDescent="0.35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6:30" x14ac:dyDescent="0.35"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6:30" x14ac:dyDescent="0.35"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6:30" x14ac:dyDescent="0.35"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6:30" x14ac:dyDescent="0.35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6:30" x14ac:dyDescent="0.35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6:30" x14ac:dyDescent="0.35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6:30" x14ac:dyDescent="0.35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6:30" x14ac:dyDescent="0.35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6:30" x14ac:dyDescent="0.35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6:30" x14ac:dyDescent="0.35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6:30" x14ac:dyDescent="0.35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6:30" x14ac:dyDescent="0.35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6:30" x14ac:dyDescent="0.35"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6:30" x14ac:dyDescent="0.35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6:30" x14ac:dyDescent="0.35"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6:30" x14ac:dyDescent="0.35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6:30" x14ac:dyDescent="0.35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6:30" x14ac:dyDescent="0.35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6:30" x14ac:dyDescent="0.35"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6:30" x14ac:dyDescent="0.35"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6:30" x14ac:dyDescent="0.35"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6:30" x14ac:dyDescent="0.35"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6:30" x14ac:dyDescent="0.35"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6:30" x14ac:dyDescent="0.35"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6:30" x14ac:dyDescent="0.35"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</sheetData>
  <mergeCells count="7">
    <mergeCell ref="F14:N14"/>
    <mergeCell ref="F7:L7"/>
    <mergeCell ref="F8:K8"/>
    <mergeCell ref="F9:G9"/>
    <mergeCell ref="F10:G10"/>
    <mergeCell ref="F11:G11"/>
    <mergeCell ref="F13:N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md. abdullah al noman</cp:lastModifiedBy>
  <dcterms:created xsi:type="dcterms:W3CDTF">2025-07-13T16:53:30Z</dcterms:created>
  <dcterms:modified xsi:type="dcterms:W3CDTF">2026-06-25T13:58:04Z</dcterms:modified>
</cp:coreProperties>
</file>